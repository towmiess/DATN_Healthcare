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ướng dẫn" sheetId="1" state="visible" r:id="rId3"/>
    <sheet name="Bộ câu hỏi test" sheetId="2" state="visible" r:id="rId4"/>
    <sheet name="Chấm - Chất lượng RAG" sheetId="3" state="visible" r:id="rId5"/>
    <sheet name="Chấm - Phát hiện khẩn cấp" sheetId="4" state="visible" r:id="rId6"/>
    <sheet name="Tổng hợp kết quả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<sst xmlns="http://schemas.openxmlformats.org/spreadsheetml/2006/main" count="383" uniqueCount="226">
  <si>
    <t xml:space="preserve">BỘ CÂU HỎI TEST + FORM CHẤM ĐIỂM — ĐÁNH GIÁ HỆ THỐNG RAG (DiabeCare)</t>
  </si>
  <si>
    <t xml:space="preserve">Dùng cho: đánh giá chất lượng trả lời RAG + so sánh 3 phương pháp phát hiện khẩn cấp (rule-based / LLM / hybrid)</t>
  </si>
  <si>
    <t xml:space="preserve">CẤU TRÚC WORKBOOK</t>
  </si>
  <si>
    <t xml:space="preserve">1. Bộ câu hỏi test — ngân hàng câu hỏi/nhật ký test, đã gán nhãn sẵn (KHÔNG sửa sheet này khi chấm).</t>
  </si>
  <si>
    <t xml:space="preserve">2. Chấm - Chất lượng RAG — dùng cho nhóm câu hỏi y khoa thông thường (không phải nhóm khẩn cấp).</t>
  </si>
  <si>
    <t xml:space="preserve">3. Chấm - Phát hiện khẩn cấp — dùng cho nhóm câu hỏi/nhật ký liên quan khẩn cấp, so sánh 3 phương pháp.</t>
  </si>
  <si>
    <t xml:space="preserve">4. Tổng hợp kết quả — TỰ ĐỘNG tính Precision/Recall/F1 và điểm trung bình từ 2 sheet chấm ở trên.</t>
  </si>
  <si>
    <t xml:space="preserve">CÁCH CHẤM (Sheet 2 — Chất lượng RAG)</t>
  </si>
  <si>
    <t xml:space="preserve">- Chạy từng câu hỏi trong hệ thống RAG thật, dán câu trả lời vào cột 'Câu trả lời hệ thống'.</t>
  </si>
  <si>
    <t xml:space="preserve">- Chấm 'Độ liên quan' và 'Độ chính xác y khoa' theo thang 1-5 (1 = rất kém, 5 = rất tốt).</t>
  </si>
  <si>
    <t xml:space="preserve">- Cột có NỀN VÀNG là cột cần điền. Các cột khác tự động lấy từ Sheet 1, không sửa.</t>
  </si>
  <si>
    <t xml:space="preserve">CÁCH CHẤM (Sheet 3 — Phát hiện khẩn cấp)</t>
  </si>
  <si>
    <t xml:space="preserve">- Với mỗi câu, chạy CẢ 3 phương pháp trên cùng 1 input rồi điền kết quả dự đoán (Y = có khẩn cấp, N = không):</t>
  </si>
  <si>
    <t xml:space="preserve">  + Rule-based: is_emergency() hiện tại trong retriever.py</t>
  </si>
  <si>
    <t xml:space="preserve">  + LLM-only: hỏi thẳng LLM 'đây có phải tình huống khẩn cấp y tế không', không qua rule-based</t>
  </si>
  <si>
    <t xml:space="preserve">  + Hybrid: rule-based ưu tiên, nếu rule-based=N thì hỏi thêm LLM phân loại (thiết kế đề xuất trong đồ án)</t>
  </si>
  <si>
    <t xml:space="preserve">- Cột 'Đúng/Sai' tự tính bằng công thức, so với cột 'Nhãn thật' (ground truth) ở Sheet 1.</t>
  </si>
  <si>
    <t xml:space="preserve">THANG ĐIỂM 1-5 (Độ liên quan / Độ chính xác y khoa)</t>
  </si>
  <si>
    <t xml:space="preserve">  1 = Sai lệch nghiêm trọng / không liên quan   2 = Thiếu sót nhiều   3 = Chấp nhận được</t>
  </si>
  <si>
    <t xml:space="preserve">  4 = Tốt, có vài chỗ chưa hoàn hảo             5 = Chính xác, đầy đủ, an toàn</t>
  </si>
  <si>
    <t xml:space="preserve">LƯU Ý QUAN TRỌNG</t>
  </si>
  <si>
    <t xml:space="preserve">- Nhãn thật (ground truth) ở Sheet 1 cột 'Khẩn cấp thật?' nên được rà soát lại bởi người có chuyên</t>
  </si>
  <si>
    <t xml:space="preserve">  môn y khoa (giảng viên hướng dẫn / đối chiếu tài liệu ADA) trước khi dùng làm số liệu báo cáo.</t>
  </si>
  <si>
    <t xml:space="preserve">- Recall (không bỏ sót ca khẩn cấp thật) quan trọng hơn Precision trong bài toán này — ưu tiên đọc</t>
  </si>
  <si>
    <t xml:space="preserve">  chỉ số Recall và False Negative khi kết luận trong báo cáo.</t>
  </si>
  <si>
    <t xml:space="preserve">STT</t>
  </si>
  <si>
    <t xml:space="preserve">Mã câu hỏi</t>
  </si>
  <si>
    <t xml:space="preserve">Nhóm</t>
  </si>
  <si>
    <t xml:space="preserve">Nội dung test (câu hỏi / nhật ký)</t>
  </si>
  <si>
    <t xml:space="preserve">route_type kỳ vọng</t>
  </si>
  <si>
    <t xml:space="preserve">Khẩn cấp thật?</t>
  </si>
  <si>
    <t xml:space="preserve">Ghi chú / lý do chọn</t>
  </si>
  <si>
    <t xml:space="preserve">Q001</t>
  </si>
  <si>
    <t xml:space="preserve">1. Chẩn đoán &amp; xét nghiệm</t>
  </si>
  <si>
    <t xml:space="preserve">HbA1c bao nhiêu là cần điều trị?</t>
  </si>
  <si>
    <t xml:space="preserve">document</t>
  </si>
  <si>
    <t xml:space="preserve">N</t>
  </si>
  <si>
    <t xml:space="preserve">Câu hỏi kiến thức chuẩn, có trong tài liệu</t>
  </si>
  <si>
    <t xml:space="preserve">Q002</t>
  </si>
  <si>
    <t xml:space="preserve">Xét nghiệm đường huyết lúc đói bình thường là bao nhiêu?</t>
  </si>
  <si>
    <t xml:space="preserve">Q003</t>
  </si>
  <si>
    <t xml:space="preserve">Tiền tiểu đường có cần điều trị không?</t>
  </si>
  <si>
    <t xml:space="preserve">Q004</t>
  </si>
  <si>
    <t xml:space="preserve">Tiểu đường type 1 khác type 2 như thế nào?</t>
  </si>
  <si>
    <t xml:space="preserve">Q005</t>
  </si>
  <si>
    <t xml:space="preserve">Chỉ số GI (glycemic index) là gì?</t>
  </si>
  <si>
    <t xml:space="preserve">Test riêng vì GI dễ bị regex nhận nhầm (đã fix ở FE)</t>
  </si>
  <si>
    <t xml:space="preserve">Q006</t>
  </si>
  <si>
    <t xml:space="preserve">2. Chế độ ăn uống</t>
  </si>
  <si>
    <t xml:space="preserve">Người tiểu đường type 2 ăn phở được không?</t>
  </si>
  <si>
    <t xml:space="preserve">Q007</t>
  </si>
  <si>
    <t xml:space="preserve">Thực đơn 1 ngày cho người tiểu đường?</t>
  </si>
  <si>
    <t xml:space="preserve">Q008</t>
  </si>
  <si>
    <t xml:space="preserve">Trái cây nào người tiểu đường ăn được?</t>
  </si>
  <si>
    <t xml:space="preserve">Q009</t>
  </si>
  <si>
    <t xml:space="preserve">Người tiểu đường nên ăn bao nhiêu tinh bột mỗi ngày?</t>
  </si>
  <si>
    <t xml:space="preserve">Q010</t>
  </si>
  <si>
    <t xml:space="preserve">Có nên nhịn ăn gián đoạn (intermittent fasting) khi bị tiểu đường không?</t>
  </si>
  <si>
    <t xml:space="preserve">Câu hỏi nâng cao, test khả năng retrieval sâu</t>
  </si>
  <si>
    <t xml:space="preserve">Q011</t>
  </si>
  <si>
    <t xml:space="preserve">3. Thuốc &amp; điều trị</t>
  </si>
  <si>
    <t xml:space="preserve">Metformin uống lúc nào tốt nhất?</t>
  </si>
  <si>
    <t xml:space="preserve">drug</t>
  </si>
  <si>
    <t xml:space="preserve">Q012</t>
  </si>
  <si>
    <t xml:space="preserve">Khi nào cần chuyển sang dùng insulin?</t>
  </si>
  <si>
    <t xml:space="preserve">Q013</t>
  </si>
  <si>
    <t xml:space="preserve">Metformin có tác dụng phụ gì không?</t>
  </si>
  <si>
    <t xml:space="preserve">Q014</t>
  </si>
  <si>
    <t xml:space="preserve">Thuốc tiểu đường uống lúc nào là tốt nhất?</t>
  </si>
  <si>
    <t xml:space="preserve">Q015</t>
  </si>
  <si>
    <t xml:space="preserve">Uống Metformin quên 1 liều thì có nên uống bù không?</t>
  </si>
  <si>
    <t xml:space="preserve">Câu hỏi tình huống thực tế</t>
  </si>
  <si>
    <t xml:space="preserve">Q016</t>
  </si>
  <si>
    <t xml:space="preserve">4. Biến chứng</t>
  </si>
  <si>
    <t xml:space="preserve">Biến chứng tim mạch của tiểu đường?</t>
  </si>
  <si>
    <t xml:space="preserve">Q017</t>
  </si>
  <si>
    <t xml:space="preserve">Tiểu đường có ảnh hưởng đến thận không?</t>
  </si>
  <si>
    <t xml:space="preserve">Q018</t>
  </si>
  <si>
    <t xml:space="preserve">Biến chứng mắt của tiểu đường có chữa được không?</t>
  </si>
  <si>
    <t xml:space="preserve">Q019</t>
  </si>
  <si>
    <t xml:space="preserve">Bệnh thần kinh ngoại biên do tiểu đường là gì?</t>
  </si>
  <si>
    <t xml:space="preserve">Q020</t>
  </si>
  <si>
    <t xml:space="preserve">Phân biệt tiểu đường type 1, type 2 và thai kỳ</t>
  </si>
  <si>
    <t xml:space="preserve">Q021</t>
  </si>
  <si>
    <t xml:space="preserve">5. Lối sống &amp; phòng ngừa</t>
  </si>
  <si>
    <t xml:space="preserve">Người tiểu đường nên tập thể dục như thế nào?</t>
  </si>
  <si>
    <t xml:space="preserve">Q022</t>
  </si>
  <si>
    <t xml:space="preserve">Stress ảnh hưởng đến đường huyết không?</t>
  </si>
  <si>
    <t xml:space="preserve">Q023</t>
  </si>
  <si>
    <t xml:space="preserve">Người tiểu đường có uống rượu bia được không?</t>
  </si>
  <si>
    <t xml:space="preserve">Q024</t>
  </si>
  <si>
    <t xml:space="preserve">Làm sao phòng ngừa tiền tiểu đường?</t>
  </si>
  <si>
    <t xml:space="preserve">Q025</t>
  </si>
  <si>
    <t xml:space="preserve">6. Khẩn cấp - từ khóa rõ</t>
  </si>
  <si>
    <t xml:space="preserve">Tôi bị ngất sau khi tiêm insulin, phải làm sao?</t>
  </si>
  <si>
    <t xml:space="preserve">emergency</t>
  </si>
  <si>
    <t xml:space="preserve">Y</t>
  </si>
  <si>
    <t xml:space="preserve">Chứa 'ngất' — có trong _EMERGENCY_TRIGGERS</t>
  </si>
  <si>
    <t xml:space="preserve">Q026</t>
  </si>
  <si>
    <t xml:space="preserve">Người nhà tôi bị hôn mê do tiểu đường, cần cấp cứu ngay không?</t>
  </si>
  <si>
    <t xml:space="preserve">Chứa 'hôn mê', 'cấp cứu'</t>
  </si>
  <si>
    <t xml:space="preserve">Q027</t>
  </si>
  <si>
    <t xml:space="preserve">Bị co giật sau khi tiêm insulin quá liều</t>
  </si>
  <si>
    <t xml:space="preserve">Chứa 'co giật'</t>
  </si>
  <si>
    <t xml:space="preserve">Q028</t>
  </si>
  <si>
    <t xml:space="preserve">Đường huyết đo được dưới 70, tôi nên làm gì ngay?</t>
  </si>
  <si>
    <t xml:space="preserve">Chứa 'dưới 70'</t>
  </si>
  <si>
    <t xml:space="preserve">Q029</t>
  </si>
  <si>
    <t xml:space="preserve">Hạ đường huyết đột ngột, gọi 115 được không?</t>
  </si>
  <si>
    <t xml:space="preserve">Chứa 'hạ đường huyết', 'gọi 115'</t>
  </si>
  <si>
    <t xml:space="preserve">Q030</t>
  </si>
  <si>
    <t xml:space="preserve">Đường huyết thấp quá, tôi phải làm sao?</t>
  </si>
  <si>
    <t xml:space="preserve">Chứa 'đường huyết thấp'</t>
  </si>
  <si>
    <t xml:space="preserve">Q031</t>
  </si>
  <si>
    <t xml:space="preserve">7. Khẩn cấp - mô tả triệu chứng (không từ khóa mạnh)</t>
  </si>
  <si>
    <t xml:space="preserve">Chiều nay sau khi tiêm insulin tôi thấy chóng mặt, vã mồ hôi nhiều, tay run.</t>
  </si>
  <si>
    <t xml:space="preserve">KHÔNG khớp _EMERGENCY_TRIGGERS hiện tại — case đã phát hiện trong quá trình dev</t>
  </si>
  <si>
    <t xml:space="preserve">Q032</t>
  </si>
  <si>
    <t xml:space="preserve">Tôi thấy đói cồn cào, tim đập nhanh, hơi lú lẫn sau khi tập thể dục.</t>
  </si>
  <si>
    <t xml:space="preserve">Mô tả đúng dấu hiệu hạ đường huyết trong EMERGENCY_RESPONSE</t>
  </si>
  <si>
    <t xml:space="preserve">Q033</t>
  </si>
  <si>
    <t xml:space="preserve">Tự nhiên người tôi lạnh toát mồ hôi, tay chân bủn rủn không cầm được đồ.</t>
  </si>
  <si>
    <t xml:space="preserve">Q034</t>
  </si>
  <si>
    <t xml:space="preserve">Đầu óc tôi quay cuồng, nhìn mờ, muốn xỉu sau khi bỏ bữa trưa.</t>
  </si>
  <si>
    <t xml:space="preserve">Q035</t>
  </si>
  <si>
    <t xml:space="preserve">Con tôi bị tiểu đường, hôm nay cháu tự nhiên lơ mơ, gọi không phản ứng nhanh như bình thường.</t>
  </si>
  <si>
    <t xml:space="preserve">Diễn đạt gián tiếp qua người thân</t>
  </si>
  <si>
    <t xml:space="preserve">Q036</t>
  </si>
  <si>
    <t xml:space="preserve">Người mệt lả, vã mồ hôi lạnh, tim đập thình thịch, không rõ vì sao.</t>
  </si>
  <si>
    <t xml:space="preserve">Q037</t>
  </si>
  <si>
    <t xml:space="preserve">Sau khi uống thuốc tiểu đường tôi thấy run rẩy toàn thân và rất đói.</t>
  </si>
  <si>
    <t xml:space="preserve">Q038</t>
  </si>
  <si>
    <t xml:space="preserve">Cảm giác choáng váng, mắt hoa, chân tay yếu hẳn đi trong vài phút.</t>
  </si>
  <si>
    <t xml:space="preserve">Q039</t>
  </si>
  <si>
    <t xml:space="preserve">Tôi đang nói chuyện tự nhiên thấy lẫn lộn, quên mình đang nói gì.</t>
  </si>
  <si>
    <t xml:space="preserve">Lú lẫn — dấu hiệu hạ đường huyết nặng</t>
  </si>
  <si>
    <t xml:space="preserve">Q040</t>
  </si>
  <si>
    <t xml:space="preserve">Da tôi tái nhợt, vã mồ hôi dù trời không nóng, cảm giác rất yếu.</t>
  </si>
  <si>
    <t xml:space="preserve">Q041</t>
  </si>
  <si>
    <t xml:space="preserve">8. Không khẩn cấp - dễ nhầm (near-miss)</t>
  </si>
  <si>
    <t xml:space="preserve">Hôm nay tôi hơi mệt một chút sau bữa trưa, chắc do ăn hơi no.</t>
  </si>
  <si>
    <t xml:space="preserve">Mệt nhẹ, KHÔNG phải khẩn cấp — test tránh báo động giả</t>
  </si>
  <si>
    <t xml:space="preserve">Q042</t>
  </si>
  <si>
    <t xml:space="preserve">Tôi hay bị chóng mặt nhẹ mỗi khi đứng dậy quá nhanh, có phải bình thường không?</t>
  </si>
  <si>
    <t xml:space="preserve">Chóng mặt tư thế, không phải hạ đường huyết</t>
  </si>
  <si>
    <t xml:space="preserve">Q043</t>
  </si>
  <si>
    <t xml:space="preserve">Đợt này trời nóng nên tôi ra mồ hôi nhiều hơn bình thường khi vận động.</t>
  </si>
  <si>
    <t xml:space="preserve">Mồ hôi do nhiệt độ, không phải triệu chứng bệnh</t>
  </si>
  <si>
    <t xml:space="preserve">Q044</t>
  </si>
  <si>
    <t xml:space="preserve">Tay tôi hơi run vì mới uống cà phê sáng nay, có ảnh hưởng đường huyết không?</t>
  </si>
  <si>
    <t xml:space="preserve">Run do caffeine, không phải hạ đường huyết</t>
  </si>
  <si>
    <t xml:space="preserve">Q045</t>
  </si>
  <si>
    <t xml:space="preserve">Tôi thấy hồi hộp trước buổi phỏng vấn xin việc ngày mai, tim có đập nhanh hơn không?</t>
  </si>
  <si>
    <t xml:space="preserve">Hồi hộp do lo lắng, không phải cấp cứu y tế</t>
  </si>
  <si>
    <t xml:space="preserve">Q046</t>
  </si>
  <si>
    <t xml:space="preserve">Đường huyết tôi đo sáng nay là 95 mg/dL, như vậy có ổn không?</t>
  </si>
  <si>
    <t xml:space="preserve">95 là mức bình thường, KHÔNG dưới ngưỡng nguy hiểm</t>
  </si>
  <si>
    <t xml:space="preserve">Q047</t>
  </si>
  <si>
    <t xml:space="preserve">Tôi hơi đói bụng vì chưa ăn sáng, lát nữa ăn thì hết đúng không?</t>
  </si>
  <si>
    <t xml:space="preserve">Đói thông thường, không kèm dấu hiệu khác</t>
  </si>
  <si>
    <t xml:space="preserve">Q048</t>
  </si>
  <si>
    <t xml:space="preserve">Có nên lo lắng nếu thỉnh thoảng cảm thấy hơi mệt vào cuối ngày làm việc không?</t>
  </si>
  <si>
    <t xml:space="preserve">Mệt mỏi thông thường cuối ngày</t>
  </si>
  <si>
    <t xml:space="preserve">Q049</t>
  </si>
  <si>
    <t xml:space="preserve">9. Ngoài phạm vi</t>
  </si>
  <si>
    <t xml:space="preserve">Cách nấu phở bò truyền thống miền Bắc?</t>
  </si>
  <si>
    <t xml:space="preserve">Không liên quan y khoa — test hệ thống có 'biết mình không biết' không</t>
  </si>
  <si>
    <t xml:space="preserve">Q050</t>
  </si>
  <si>
    <t xml:space="preserve">Dự báo thời tiết Hà Nội ngày mai thế nào?</t>
  </si>
  <si>
    <t xml:space="preserve">Hoàn toàn ngoài phạm vi</t>
  </si>
  <si>
    <t xml:space="preserve">Q051</t>
  </si>
  <si>
    <t xml:space="preserve">Triệu chứng của bệnh sốt xuất huyết là gì?</t>
  </si>
  <si>
    <t xml:space="preserve">Bệnh khác, không phải tiểu đường — test overreach</t>
  </si>
  <si>
    <t xml:space="preserve">Q052</t>
  </si>
  <si>
    <t xml:space="preserve">Tư vấn giúp tôi chọn mua laptop dưới 15 triệu.</t>
  </si>
  <si>
    <t xml:space="preserve">Q053</t>
  </si>
  <si>
    <t xml:space="preserve">10. Mơ hồ / thiếu ngữ cảnh</t>
  </si>
  <si>
    <t xml:space="preserve">Có sao không?</t>
  </si>
  <si>
    <t xml:space="preserve">Không có ngữ cảnh — test khả năng hỏi lại / xử lý câu mơ hồ</t>
  </si>
  <si>
    <t xml:space="preserve">Q054</t>
  </si>
  <si>
    <t xml:space="preserve">Bao nhiêu là nguy hiểm?</t>
  </si>
  <si>
    <t xml:space="preserve">Thiếu chủ ngữ/chỉ số cụ thể</t>
  </si>
  <si>
    <t xml:space="preserve">Q055</t>
  </si>
  <si>
    <t xml:space="preserve">Nó có ảnh hưởng gì không?</t>
  </si>
  <si>
    <t xml:space="preserve">Không rõ 'nó' là gì</t>
  </si>
  <si>
    <t xml:space="preserve">Câu hỏi</t>
  </si>
  <si>
    <t xml:space="preserve">Câu trả lời hệ thống (dán vào)</t>
  </si>
  <si>
    <t xml:space="preserve">Độ liên quan (1-5)</t>
  </si>
  <si>
    <t xml:space="preserve">Độ chính xác y khoa (1-5)</t>
  </si>
  <si>
    <t xml:space="preserve">Trích dẫn nguồn đúng?</t>
  </si>
  <si>
    <t xml:space="preserve">Thời gian phản hồi (ms)</t>
  </si>
  <si>
    <t xml:space="preserve">Người chấm</t>
  </si>
  <si>
    <t xml:space="preserve">Ghi chú</t>
  </si>
  <si>
    <t xml:space="preserve">VÍ DỤ (không tính số liệu)</t>
  </si>
  <si>
    <t xml:space="preserve">Metformin nên uống cùng hoặc ngay sau bữa ăn để giảm tác dụng phụ trên tiêu hóa...</t>
  </si>
  <si>
    <t xml:space="preserve">Nguyễn A</t>
  </si>
  <si>
    <t xml:space="preserve">Nội dung</t>
  </si>
  <si>
    <t xml:space="preserve">Nhãn thật (Y/N)</t>
  </si>
  <si>
    <t xml:space="preserve">Rule-based dự đoán</t>
  </si>
  <si>
    <t xml:space="preserve">LLM-only dự đoán</t>
  </si>
  <si>
    <t xml:space="preserve">Hybrid dự đoán</t>
  </si>
  <si>
    <t xml:space="preserve">Rule-based Đúng/Sai</t>
  </si>
  <si>
    <t xml:space="preserve">LLM-only Đúng/Sai</t>
  </si>
  <si>
    <t xml:space="preserve">Hybrid Đúng/Sai</t>
  </si>
  <si>
    <t xml:space="preserve">TỔNG HỢP KẾT QUẢ ĐÁNH GIÁ</t>
  </si>
  <si>
    <t xml:space="preserve">Toàn bộ số liệu bên dưới tự tính từ 'Chấm - Chất lượng RAG' và 'Chấm - Phát hiện khẩn cấp'.</t>
  </si>
  <si>
    <t xml:space="preserve">1. CHẤT LƯỢNG TRẢ LỜI RAG (nhóm câu hỏi thường)</t>
  </si>
  <si>
    <t xml:space="preserve">Điểm TB Độ liên quan (1-5)</t>
  </si>
  <si>
    <t xml:space="preserve">Điểm TB Độ chính xác y khoa (1-5)</t>
  </si>
  <si>
    <t xml:space="preserve">Tỷ lệ trích dẫn nguồn đúng</t>
  </si>
  <si>
    <t xml:space="preserve">Thời gian phản hồi TB (ms)</t>
  </si>
  <si>
    <t xml:space="preserve">Số câu đã chấm / Tổng số câu</t>
  </si>
  <si>
    <t xml:space="preserve">2. SO SÁNH 3 PHƯƠNG PHÁP PHÁT HIỆN KHẨN CẤP</t>
  </si>
  <si>
    <t xml:space="preserve">Phương pháp</t>
  </si>
  <si>
    <t xml:space="preserve">TP</t>
  </si>
  <si>
    <t xml:space="preserve">FP</t>
  </si>
  <si>
    <t xml:space="preserve">FN</t>
  </si>
  <si>
    <t xml:space="preserve">TN</t>
  </si>
  <si>
    <t xml:space="preserve">Precision</t>
  </si>
  <si>
    <t xml:space="preserve">Recall</t>
  </si>
  <si>
    <t xml:space="preserve">F1-score</t>
  </si>
  <si>
    <t xml:space="preserve">Rule-based</t>
  </si>
  <si>
    <t xml:space="preserve">LLM-only</t>
  </si>
  <si>
    <t xml:space="preserve">Hybrid (đề xuất)</t>
  </si>
  <si>
    <t xml:space="preserve">Ghi chú: TP=phát hiện đúng ca khẩn cấp · FP=báo động giả · FN=BỎ SÓT ca khẩn cấp (quan trọng nhất) · TN=đúng khi không khẩn cấp.</t>
  </si>
  <si>
    <t xml:space="preserve">Ưu tiên đọc chỉ số Recall và FN khi kết luận trong báo cáo — bỏ sót (FN) nguy hiểm hơn báo động giả (FP) trong bài toán y tế.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</si>
</sst>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1F4E78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1F4E78"/>
      <name val="Arial"/>
      <family val="0"/>
      <charset val="1"/>
    </font>
    <font>
      <i val="true"/>
      <sz val="9"/>
      <color rgb="FFC00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FFFFF"/>
      </patternFill>
    </fill>
    <fill>
      <patternFill patternType="solid">
        <fgColor rgb="FFD9E1F2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/>
    </row>
    <row r="4" customFormat="false" ht="15" hidden="false" customHeight="false" outlineLevel="0" collapsed="false">
      <c r="A4" s="4" t="s">
        <v>2</v>
      </c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A6" s="3" t="s">
        <v>4</v>
      </c>
    </row>
    <row r="7" customFormat="false" ht="15" hidden="false" customHeight="false" outlineLevel="0" collapsed="false">
      <c r="A7" s="3" t="s">
        <v>5</v>
      </c>
    </row>
    <row r="8" customFormat="false" ht="15" hidden="false" customHeight="false" outlineLevel="0" collapsed="false">
      <c r="A8" s="3" t="s">
        <v>6</v>
      </c>
    </row>
    <row r="9" customFormat="false" ht="15" hidden="false" customHeight="false" outlineLevel="0" collapsed="false">
      <c r="A9" s="3"/>
    </row>
    <row r="10" customFormat="false" ht="15" hidden="false" customHeight="false" outlineLevel="0" collapsed="false">
      <c r="A10" s="4" t="s">
        <v>7</v>
      </c>
    </row>
    <row r="11" customFormat="false" ht="15" hidden="false" customHeight="false" outlineLevel="0" collapsed="false">
      <c r="A11" s="3" t="s">
        <v>8</v>
      </c>
    </row>
    <row r="12" customFormat="false" ht="15" hidden="false" customHeight="false" outlineLevel="0" collapsed="false">
      <c r="A12" s="3" t="s">
        <v>9</v>
      </c>
    </row>
    <row r="13" customFormat="false" ht="15" hidden="false" customHeight="false" outlineLevel="0" collapsed="false">
      <c r="A13" s="3" t="s">
        <v>10</v>
      </c>
    </row>
    <row r="14" customFormat="false" ht="15" hidden="false" customHeight="false" outlineLevel="0" collapsed="false">
      <c r="A14" s="3"/>
    </row>
    <row r="15" customFormat="false" ht="15" hidden="false" customHeight="false" outlineLevel="0" collapsed="false">
      <c r="A15" s="4" t="s">
        <v>11</v>
      </c>
    </row>
    <row r="16" customFormat="false" ht="15" hidden="false" customHeight="false" outlineLevel="0" collapsed="false">
      <c r="A16" s="3" t="s">
        <v>12</v>
      </c>
    </row>
    <row r="17" customFormat="false" ht="15" hidden="false" customHeight="false" outlineLevel="0" collapsed="false">
      <c r="A17" s="3" t="s">
        <v>13</v>
      </c>
    </row>
    <row r="18" customFormat="false" ht="15" hidden="false" customHeight="false" outlineLevel="0" collapsed="false">
      <c r="A18" s="3" t="s">
        <v>14</v>
      </c>
    </row>
    <row r="19" customFormat="false" ht="15" hidden="false" customHeight="false" outlineLevel="0" collapsed="false">
      <c r="A19" s="3" t="s">
        <v>15</v>
      </c>
    </row>
    <row r="20" customFormat="false" ht="15" hidden="false" customHeight="false" outlineLevel="0" collapsed="false">
      <c r="A20" s="3" t="s">
        <v>16</v>
      </c>
    </row>
    <row r="21" customFormat="false" ht="15" hidden="false" customHeight="false" outlineLevel="0" collapsed="false">
      <c r="A21" s="3"/>
    </row>
    <row r="22" customFormat="false" ht="15" hidden="false" customHeight="false" outlineLevel="0" collapsed="false">
      <c r="A22" s="4" t="s">
        <v>17</v>
      </c>
    </row>
    <row r="23" customFormat="false" ht="15" hidden="false" customHeight="false" outlineLevel="0" collapsed="false">
      <c r="A23" s="3" t="s">
        <v>18</v>
      </c>
    </row>
    <row r="24" customFormat="false" ht="15" hidden="false" customHeight="false" outlineLevel="0" collapsed="false">
      <c r="A24" s="3" t="s">
        <v>19</v>
      </c>
    </row>
    <row r="25" customFormat="false" ht="15" hidden="false" customHeight="false" outlineLevel="0" collapsed="false">
      <c r="A25" s="3"/>
    </row>
    <row r="26" customFormat="false" ht="15" hidden="false" customHeight="false" outlineLevel="0" collapsed="false">
      <c r="A26" s="4" t="s">
        <v>20</v>
      </c>
    </row>
    <row r="27" customFormat="false" ht="15" hidden="false" customHeight="false" outlineLevel="0" collapsed="false">
      <c r="A27" s="3" t="s">
        <v>21</v>
      </c>
    </row>
    <row r="28" customFormat="false" ht="15" hidden="false" customHeight="false" outlineLevel="0" collapsed="false">
      <c r="A28" s="3" t="s">
        <v>22</v>
      </c>
    </row>
    <row r="29" customFormat="false" ht="15" hidden="false" customHeight="false" outlineLevel="0" collapsed="false">
      <c r="A29" s="3" t="s">
        <v>23</v>
      </c>
    </row>
    <row r="30" customFormat="false" ht="15" hidden="false" customHeight="false" outlineLevel="0" collapsed="false">
      <c r="A30" s="3" t="s">
        <v>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2"/>
    <col collapsed="false" customWidth="true" hidden="false" outlineLevel="0" max="3" min="3" style="0" width="30"/>
    <col collapsed="false" customWidth="true" hidden="false" outlineLevel="0" max="4" min="4" style="0" width="60"/>
    <col collapsed="false" customWidth="true" hidden="false" outlineLevel="0" max="5" min="5" style="0" width="18"/>
    <col collapsed="false" customWidth="true" hidden="false" outlineLevel="0" max="6" min="6" style="0" width="14"/>
    <col collapsed="false" customWidth="true" hidden="false" outlineLevel="0" max="7" min="7" style="0" width="45"/>
  </cols>
  <sheetData>
    <row r="1" customFormat="false" ht="30" hidden="false" customHeight="true" outlineLevel="0" collapsed="false">
      <c r="A1" s="5" t="s">
        <v>25</v>
      </c>
      <c r="B1" s="5" t="s">
        <v>26</v>
      </c>
      <c r="C1" s="5" t="s">
        <v>27</v>
      </c>
      <c r="D1" s="5" t="s">
        <v>28</v>
      </c>
      <c r="E1" s="5" t="s">
        <v>29</v>
      </c>
      <c r="F1" s="5" t="s">
        <v>30</v>
      </c>
      <c r="G1" s="5" t="s">
        <v>31</v>
      </c>
    </row>
    <row r="2" customFormat="false" ht="15" hidden="false" customHeight="false" outlineLevel="0" collapsed="false">
      <c r="A2" s="6" t="n">
        <v>1</v>
      </c>
      <c r="B2" s="6" t="s">
        <v>32</v>
      </c>
      <c r="C2" s="7" t="s">
        <v>33</v>
      </c>
      <c r="D2" s="7" t="s">
        <v>34</v>
      </c>
      <c r="E2" s="6" t="s">
        <v>35</v>
      </c>
      <c r="F2" s="6" t="s">
        <v>36</v>
      </c>
      <c r="G2" s="7" t="s">
        <v>37</v>
      </c>
    </row>
    <row r="3" customFormat="false" ht="15" hidden="false" customHeight="false" outlineLevel="0" collapsed="false">
      <c r="A3" s="6" t="n">
        <v>2</v>
      </c>
      <c r="B3" s="6" t="s">
        <v>38</v>
      </c>
      <c r="C3" s="7" t="s">
        <v>33</v>
      </c>
      <c r="D3" s="7" t="s">
        <v>39</v>
      </c>
      <c r="E3" s="6" t="s">
        <v>35</v>
      </c>
      <c r="F3" s="6" t="s">
        <v>36</v>
      </c>
      <c r="G3" s="7"/>
    </row>
    <row r="4" customFormat="false" ht="15" hidden="false" customHeight="false" outlineLevel="0" collapsed="false">
      <c r="A4" s="6" t="n">
        <v>3</v>
      </c>
      <c r="B4" s="6" t="s">
        <v>40</v>
      </c>
      <c r="C4" s="7" t="s">
        <v>33</v>
      </c>
      <c r="D4" s="7" t="s">
        <v>41</v>
      </c>
      <c r="E4" s="6" t="s">
        <v>35</v>
      </c>
      <c r="F4" s="6" t="s">
        <v>36</v>
      </c>
      <c r="G4" s="7"/>
    </row>
    <row r="5" customFormat="false" ht="15" hidden="false" customHeight="false" outlineLevel="0" collapsed="false">
      <c r="A5" s="6" t="n">
        <v>4</v>
      </c>
      <c r="B5" s="6" t="s">
        <v>42</v>
      </c>
      <c r="C5" s="7" t="s">
        <v>33</v>
      </c>
      <c r="D5" s="7" t="s">
        <v>43</v>
      </c>
      <c r="E5" s="6" t="s">
        <v>35</v>
      </c>
      <c r="F5" s="6" t="s">
        <v>36</v>
      </c>
      <c r="G5" s="7"/>
    </row>
    <row r="6" customFormat="false" ht="15" hidden="false" customHeight="false" outlineLevel="0" collapsed="false">
      <c r="A6" s="6" t="n">
        <v>5</v>
      </c>
      <c r="B6" s="6" t="s">
        <v>44</v>
      </c>
      <c r="C6" s="7" t="s">
        <v>33</v>
      </c>
      <c r="D6" s="7" t="s">
        <v>45</v>
      </c>
      <c r="E6" s="6" t="s">
        <v>35</v>
      </c>
      <c r="F6" s="6" t="s">
        <v>36</v>
      </c>
      <c r="G6" s="7" t="s">
        <v>46</v>
      </c>
    </row>
    <row r="7" customFormat="false" ht="15" hidden="false" customHeight="false" outlineLevel="0" collapsed="false">
      <c r="A7" s="6" t="n">
        <v>6</v>
      </c>
      <c r="B7" s="6" t="s">
        <v>47</v>
      </c>
      <c r="C7" s="7" t="s">
        <v>48</v>
      </c>
      <c r="D7" s="7" t="s">
        <v>49</v>
      </c>
      <c r="E7" s="6" t="s">
        <v>35</v>
      </c>
      <c r="F7" s="6" t="s">
        <v>36</v>
      </c>
      <c r="G7" s="7"/>
    </row>
    <row r="8" customFormat="false" ht="15" hidden="false" customHeight="false" outlineLevel="0" collapsed="false">
      <c r="A8" s="6" t="n">
        <v>7</v>
      </c>
      <c r="B8" s="6" t="s">
        <v>50</v>
      </c>
      <c r="C8" s="7" t="s">
        <v>48</v>
      </c>
      <c r="D8" s="7" t="s">
        <v>51</v>
      </c>
      <c r="E8" s="6" t="s">
        <v>35</v>
      </c>
      <c r="F8" s="6" t="s">
        <v>36</v>
      </c>
      <c r="G8" s="7"/>
    </row>
    <row r="9" customFormat="false" ht="15" hidden="false" customHeight="false" outlineLevel="0" collapsed="false">
      <c r="A9" s="6" t="n">
        <v>8</v>
      </c>
      <c r="B9" s="6" t="s">
        <v>52</v>
      </c>
      <c r="C9" s="7" t="s">
        <v>48</v>
      </c>
      <c r="D9" s="7" t="s">
        <v>53</v>
      </c>
      <c r="E9" s="6" t="s">
        <v>35</v>
      </c>
      <c r="F9" s="6" t="s">
        <v>36</v>
      </c>
      <c r="G9" s="7"/>
    </row>
    <row r="10" customFormat="false" ht="15" hidden="false" customHeight="false" outlineLevel="0" collapsed="false">
      <c r="A10" s="6" t="n">
        <v>9</v>
      </c>
      <c r="B10" s="6" t="s">
        <v>54</v>
      </c>
      <c r="C10" s="7" t="s">
        <v>48</v>
      </c>
      <c r="D10" s="7" t="s">
        <v>55</v>
      </c>
      <c r="E10" s="6" t="s">
        <v>35</v>
      </c>
      <c r="F10" s="6" t="s">
        <v>36</v>
      </c>
      <c r="G10" s="7"/>
    </row>
    <row r="11" customFormat="false" ht="15" hidden="false" customHeight="false" outlineLevel="0" collapsed="false">
      <c r="A11" s="6" t="n">
        <v>10</v>
      </c>
      <c r="B11" s="6" t="s">
        <v>56</v>
      </c>
      <c r="C11" s="7" t="s">
        <v>48</v>
      </c>
      <c r="D11" s="7" t="s">
        <v>57</v>
      </c>
      <c r="E11" s="6" t="s">
        <v>35</v>
      </c>
      <c r="F11" s="6" t="s">
        <v>36</v>
      </c>
      <c r="G11" s="7" t="s">
        <v>58</v>
      </c>
    </row>
    <row r="12" customFormat="false" ht="15" hidden="false" customHeight="false" outlineLevel="0" collapsed="false">
      <c r="A12" s="6" t="n">
        <v>11</v>
      </c>
      <c r="B12" s="6" t="s">
        <v>59</v>
      </c>
      <c r="C12" s="7" t="s">
        <v>60</v>
      </c>
      <c r="D12" s="7" t="s">
        <v>61</v>
      </c>
      <c r="E12" s="6" t="s">
        <v>62</v>
      </c>
      <c r="F12" s="6" t="s">
        <v>36</v>
      </c>
      <c r="G12" s="7"/>
    </row>
    <row r="13" customFormat="false" ht="15" hidden="false" customHeight="false" outlineLevel="0" collapsed="false">
      <c r="A13" s="6" t="n">
        <v>12</v>
      </c>
      <c r="B13" s="6" t="s">
        <v>63</v>
      </c>
      <c r="C13" s="7" t="s">
        <v>60</v>
      </c>
      <c r="D13" s="7" t="s">
        <v>64</v>
      </c>
      <c r="E13" s="6" t="s">
        <v>62</v>
      </c>
      <c r="F13" s="6" t="s">
        <v>36</v>
      </c>
      <c r="G13" s="7"/>
    </row>
    <row r="14" customFormat="false" ht="15" hidden="false" customHeight="false" outlineLevel="0" collapsed="false">
      <c r="A14" s="6" t="n">
        <v>13</v>
      </c>
      <c r="B14" s="6" t="s">
        <v>65</v>
      </c>
      <c r="C14" s="7" t="s">
        <v>60</v>
      </c>
      <c r="D14" s="7" t="s">
        <v>66</v>
      </c>
      <c r="E14" s="6" t="s">
        <v>62</v>
      </c>
      <c r="F14" s="6" t="s">
        <v>36</v>
      </c>
      <c r="G14" s="7"/>
    </row>
    <row r="15" customFormat="false" ht="15" hidden="false" customHeight="false" outlineLevel="0" collapsed="false">
      <c r="A15" s="6" t="n">
        <v>14</v>
      </c>
      <c r="B15" s="6" t="s">
        <v>67</v>
      </c>
      <c r="C15" s="7" t="s">
        <v>60</v>
      </c>
      <c r="D15" s="7" t="s">
        <v>68</v>
      </c>
      <c r="E15" s="6" t="s">
        <v>62</v>
      </c>
      <c r="F15" s="6" t="s">
        <v>36</v>
      </c>
      <c r="G15" s="7"/>
    </row>
    <row r="16" customFormat="false" ht="15" hidden="false" customHeight="false" outlineLevel="0" collapsed="false">
      <c r="A16" s="6" t="n">
        <v>15</v>
      </c>
      <c r="B16" s="6" t="s">
        <v>69</v>
      </c>
      <c r="C16" s="7" t="s">
        <v>60</v>
      </c>
      <c r="D16" s="7" t="s">
        <v>70</v>
      </c>
      <c r="E16" s="6" t="s">
        <v>62</v>
      </c>
      <c r="F16" s="6" t="s">
        <v>36</v>
      </c>
      <c r="G16" s="7" t="s">
        <v>71</v>
      </c>
    </row>
    <row r="17" customFormat="false" ht="15" hidden="false" customHeight="false" outlineLevel="0" collapsed="false">
      <c r="A17" s="6" t="n">
        <v>16</v>
      </c>
      <c r="B17" s="6" t="s">
        <v>72</v>
      </c>
      <c r="C17" s="7" t="s">
        <v>73</v>
      </c>
      <c r="D17" s="7" t="s">
        <v>74</v>
      </c>
      <c r="E17" s="6" t="s">
        <v>35</v>
      </c>
      <c r="F17" s="6" t="s">
        <v>36</v>
      </c>
      <c r="G17" s="7"/>
    </row>
    <row r="18" customFormat="false" ht="15" hidden="false" customHeight="false" outlineLevel="0" collapsed="false">
      <c r="A18" s="6" t="n">
        <v>17</v>
      </c>
      <c r="B18" s="6" t="s">
        <v>75</v>
      </c>
      <c r="C18" s="7" t="s">
        <v>73</v>
      </c>
      <c r="D18" s="7" t="s">
        <v>76</v>
      </c>
      <c r="E18" s="6" t="s">
        <v>35</v>
      </c>
      <c r="F18" s="6" t="s">
        <v>36</v>
      </c>
      <c r="G18" s="7"/>
    </row>
    <row r="19" customFormat="false" ht="15" hidden="false" customHeight="false" outlineLevel="0" collapsed="false">
      <c r="A19" s="6" t="n">
        <v>18</v>
      </c>
      <c r="B19" s="6" t="s">
        <v>77</v>
      </c>
      <c r="C19" s="7" t="s">
        <v>73</v>
      </c>
      <c r="D19" s="7" t="s">
        <v>78</v>
      </c>
      <c r="E19" s="6" t="s">
        <v>35</v>
      </c>
      <c r="F19" s="6" t="s">
        <v>36</v>
      </c>
      <c r="G19" s="7"/>
    </row>
    <row r="20" customFormat="false" ht="15" hidden="false" customHeight="false" outlineLevel="0" collapsed="false">
      <c r="A20" s="6" t="n">
        <v>19</v>
      </c>
      <c r="B20" s="6" t="s">
        <v>79</v>
      </c>
      <c r="C20" s="7" t="s">
        <v>73</v>
      </c>
      <c r="D20" s="7" t="s">
        <v>80</v>
      </c>
      <c r="E20" s="6" t="s">
        <v>35</v>
      </c>
      <c r="F20" s="6" t="s">
        <v>36</v>
      </c>
      <c r="G20" s="7"/>
    </row>
    <row r="21" customFormat="false" ht="15" hidden="false" customHeight="false" outlineLevel="0" collapsed="false">
      <c r="A21" s="6" t="n">
        <v>20</v>
      </c>
      <c r="B21" s="6" t="s">
        <v>81</v>
      </c>
      <c r="C21" s="7" t="s">
        <v>73</v>
      </c>
      <c r="D21" s="7" t="s">
        <v>82</v>
      </c>
      <c r="E21" s="6" t="s">
        <v>35</v>
      </c>
      <c r="F21" s="6" t="s">
        <v>36</v>
      </c>
      <c r="G21" s="7"/>
    </row>
    <row r="22" customFormat="false" ht="15" hidden="false" customHeight="false" outlineLevel="0" collapsed="false">
      <c r="A22" s="6" t="n">
        <v>21</v>
      </c>
      <c r="B22" s="6" t="s">
        <v>83</v>
      </c>
      <c r="C22" s="7" t="s">
        <v>84</v>
      </c>
      <c r="D22" s="7" t="s">
        <v>85</v>
      </c>
      <c r="E22" s="6" t="s">
        <v>35</v>
      </c>
      <c r="F22" s="6" t="s">
        <v>36</v>
      </c>
      <c r="G22" s="7"/>
    </row>
    <row r="23" customFormat="false" ht="15" hidden="false" customHeight="false" outlineLevel="0" collapsed="false">
      <c r="A23" s="6" t="n">
        <v>22</v>
      </c>
      <c r="B23" s="6" t="s">
        <v>86</v>
      </c>
      <c r="C23" s="7" t="s">
        <v>84</v>
      </c>
      <c r="D23" s="7" t="s">
        <v>87</v>
      </c>
      <c r="E23" s="6" t="s">
        <v>35</v>
      </c>
      <c r="F23" s="6" t="s">
        <v>36</v>
      </c>
      <c r="G23" s="7"/>
    </row>
    <row r="24" customFormat="false" ht="15" hidden="false" customHeight="false" outlineLevel="0" collapsed="false">
      <c r="A24" s="6" t="n">
        <v>23</v>
      </c>
      <c r="B24" s="6" t="s">
        <v>88</v>
      </c>
      <c r="C24" s="7" t="s">
        <v>84</v>
      </c>
      <c r="D24" s="7" t="s">
        <v>89</v>
      </c>
      <c r="E24" s="6" t="s">
        <v>35</v>
      </c>
      <c r="F24" s="6" t="s">
        <v>36</v>
      </c>
      <c r="G24" s="7"/>
    </row>
    <row r="25" customFormat="false" ht="15" hidden="false" customHeight="false" outlineLevel="0" collapsed="false">
      <c r="A25" s="6" t="n">
        <v>24</v>
      </c>
      <c r="B25" s="6" t="s">
        <v>90</v>
      </c>
      <c r="C25" s="7" t="s">
        <v>84</v>
      </c>
      <c r="D25" s="7" t="s">
        <v>91</v>
      </c>
      <c r="E25" s="6" t="s">
        <v>35</v>
      </c>
      <c r="F25" s="6" t="s">
        <v>36</v>
      </c>
      <c r="G25" s="7"/>
    </row>
    <row r="26" customFormat="false" ht="15" hidden="false" customHeight="false" outlineLevel="0" collapsed="false">
      <c r="A26" s="6" t="n">
        <v>25</v>
      </c>
      <c r="B26" s="6" t="s">
        <v>92</v>
      </c>
      <c r="C26" s="7" t="s">
        <v>93</v>
      </c>
      <c r="D26" s="7" t="s">
        <v>94</v>
      </c>
      <c r="E26" s="6" t="s">
        <v>95</v>
      </c>
      <c r="F26" s="6" t="s">
        <v>96</v>
      </c>
      <c r="G26" s="7" t="s">
        <v>97</v>
      </c>
    </row>
    <row r="27" customFormat="false" ht="15" hidden="false" customHeight="false" outlineLevel="0" collapsed="false">
      <c r="A27" s="6" t="n">
        <v>26</v>
      </c>
      <c r="B27" s="6" t="s">
        <v>98</v>
      </c>
      <c r="C27" s="7" t="s">
        <v>93</v>
      </c>
      <c r="D27" s="7" t="s">
        <v>99</v>
      </c>
      <c r="E27" s="6" t="s">
        <v>95</v>
      </c>
      <c r="F27" s="6" t="s">
        <v>96</v>
      </c>
      <c r="G27" s="7" t="s">
        <v>100</v>
      </c>
    </row>
    <row r="28" customFormat="false" ht="15" hidden="false" customHeight="false" outlineLevel="0" collapsed="false">
      <c r="A28" s="6" t="n">
        <v>27</v>
      </c>
      <c r="B28" s="6" t="s">
        <v>101</v>
      </c>
      <c r="C28" s="7" t="s">
        <v>93</v>
      </c>
      <c r="D28" s="7" t="s">
        <v>102</v>
      </c>
      <c r="E28" s="6" t="s">
        <v>95</v>
      </c>
      <c r="F28" s="6" t="s">
        <v>96</v>
      </c>
      <c r="G28" s="7" t="s">
        <v>103</v>
      </c>
    </row>
    <row r="29" customFormat="false" ht="15" hidden="false" customHeight="false" outlineLevel="0" collapsed="false">
      <c r="A29" s="6" t="n">
        <v>28</v>
      </c>
      <c r="B29" s="6" t="s">
        <v>104</v>
      </c>
      <c r="C29" s="7" t="s">
        <v>93</v>
      </c>
      <c r="D29" s="7" t="s">
        <v>105</v>
      </c>
      <c r="E29" s="6" t="s">
        <v>95</v>
      </c>
      <c r="F29" s="6" t="s">
        <v>96</v>
      </c>
      <c r="G29" s="7" t="s">
        <v>106</v>
      </c>
    </row>
    <row r="30" customFormat="false" ht="15" hidden="false" customHeight="false" outlineLevel="0" collapsed="false">
      <c r="A30" s="6" t="n">
        <v>29</v>
      </c>
      <c r="B30" s="6" t="s">
        <v>107</v>
      </c>
      <c r="C30" s="7" t="s">
        <v>93</v>
      </c>
      <c r="D30" s="7" t="s">
        <v>108</v>
      </c>
      <c r="E30" s="6" t="s">
        <v>95</v>
      </c>
      <c r="F30" s="6" t="s">
        <v>96</v>
      </c>
      <c r="G30" s="7" t="s">
        <v>109</v>
      </c>
    </row>
    <row r="31" customFormat="false" ht="15" hidden="false" customHeight="false" outlineLevel="0" collapsed="false">
      <c r="A31" s="6" t="n">
        <v>30</v>
      </c>
      <c r="B31" s="6" t="s">
        <v>110</v>
      </c>
      <c r="C31" s="7" t="s">
        <v>93</v>
      </c>
      <c r="D31" s="7" t="s">
        <v>111</v>
      </c>
      <c r="E31" s="6" t="s">
        <v>95</v>
      </c>
      <c r="F31" s="6" t="s">
        <v>96</v>
      </c>
      <c r="G31" s="7" t="s">
        <v>112</v>
      </c>
    </row>
    <row r="32" customFormat="false" ht="23.85" hidden="false" customHeight="false" outlineLevel="0" collapsed="false">
      <c r="A32" s="6" t="n">
        <v>31</v>
      </c>
      <c r="B32" s="6" t="s">
        <v>113</v>
      </c>
      <c r="C32" s="7" t="s">
        <v>114</v>
      </c>
      <c r="D32" s="7" t="s">
        <v>115</v>
      </c>
      <c r="E32" s="6" t="s">
        <v>95</v>
      </c>
      <c r="F32" s="6" t="s">
        <v>96</v>
      </c>
      <c r="G32" s="7" t="s">
        <v>116</v>
      </c>
    </row>
    <row r="33" customFormat="false" ht="23.85" hidden="false" customHeight="false" outlineLevel="0" collapsed="false">
      <c r="A33" s="6" t="n">
        <v>32</v>
      </c>
      <c r="B33" s="6" t="s">
        <v>117</v>
      </c>
      <c r="C33" s="7" t="s">
        <v>114</v>
      </c>
      <c r="D33" s="7" t="s">
        <v>118</v>
      </c>
      <c r="E33" s="6" t="s">
        <v>95</v>
      </c>
      <c r="F33" s="6" t="s">
        <v>96</v>
      </c>
      <c r="G33" s="7" t="s">
        <v>119</v>
      </c>
    </row>
    <row r="34" customFormat="false" ht="23.85" hidden="false" customHeight="false" outlineLevel="0" collapsed="false">
      <c r="A34" s="6" t="n">
        <v>33</v>
      </c>
      <c r="B34" s="6" t="s">
        <v>120</v>
      </c>
      <c r="C34" s="7" t="s">
        <v>114</v>
      </c>
      <c r="D34" s="7" t="s">
        <v>121</v>
      </c>
      <c r="E34" s="6" t="s">
        <v>95</v>
      </c>
      <c r="F34" s="6" t="s">
        <v>96</v>
      </c>
      <c r="G34" s="7"/>
    </row>
    <row r="35" customFormat="false" ht="23.85" hidden="false" customHeight="false" outlineLevel="0" collapsed="false">
      <c r="A35" s="6" t="n">
        <v>34</v>
      </c>
      <c r="B35" s="6" t="s">
        <v>122</v>
      </c>
      <c r="C35" s="7" t="s">
        <v>114</v>
      </c>
      <c r="D35" s="7" t="s">
        <v>123</v>
      </c>
      <c r="E35" s="6" t="s">
        <v>95</v>
      </c>
      <c r="F35" s="6" t="s">
        <v>96</v>
      </c>
      <c r="G35" s="7"/>
    </row>
    <row r="36" customFormat="false" ht="23.85" hidden="false" customHeight="false" outlineLevel="0" collapsed="false">
      <c r="A36" s="6" t="n">
        <v>35</v>
      </c>
      <c r="B36" s="6" t="s">
        <v>124</v>
      </c>
      <c r="C36" s="7" t="s">
        <v>114</v>
      </c>
      <c r="D36" s="7" t="s">
        <v>125</v>
      </c>
      <c r="E36" s="6" t="s">
        <v>95</v>
      </c>
      <c r="F36" s="6" t="s">
        <v>96</v>
      </c>
      <c r="G36" s="7" t="s">
        <v>126</v>
      </c>
    </row>
    <row r="37" customFormat="false" ht="23.85" hidden="false" customHeight="false" outlineLevel="0" collapsed="false">
      <c r="A37" s="6" t="n">
        <v>36</v>
      </c>
      <c r="B37" s="6" t="s">
        <v>127</v>
      </c>
      <c r="C37" s="7" t="s">
        <v>114</v>
      </c>
      <c r="D37" s="7" t="s">
        <v>128</v>
      </c>
      <c r="E37" s="6" t="s">
        <v>95</v>
      </c>
      <c r="F37" s="6" t="s">
        <v>96</v>
      </c>
      <c r="G37" s="7"/>
    </row>
    <row r="38" customFormat="false" ht="23.85" hidden="false" customHeight="false" outlineLevel="0" collapsed="false">
      <c r="A38" s="6" t="n">
        <v>37</v>
      </c>
      <c r="B38" s="6" t="s">
        <v>129</v>
      </c>
      <c r="C38" s="7" t="s">
        <v>114</v>
      </c>
      <c r="D38" s="7" t="s">
        <v>130</v>
      </c>
      <c r="E38" s="6" t="s">
        <v>95</v>
      </c>
      <c r="F38" s="6" t="s">
        <v>96</v>
      </c>
      <c r="G38" s="7"/>
    </row>
    <row r="39" customFormat="false" ht="23.85" hidden="false" customHeight="false" outlineLevel="0" collapsed="false">
      <c r="A39" s="6" t="n">
        <v>38</v>
      </c>
      <c r="B39" s="6" t="s">
        <v>131</v>
      </c>
      <c r="C39" s="7" t="s">
        <v>114</v>
      </c>
      <c r="D39" s="7" t="s">
        <v>132</v>
      </c>
      <c r="E39" s="6" t="s">
        <v>95</v>
      </c>
      <c r="F39" s="6" t="s">
        <v>96</v>
      </c>
      <c r="G39" s="7"/>
    </row>
    <row r="40" customFormat="false" ht="23.85" hidden="false" customHeight="false" outlineLevel="0" collapsed="false">
      <c r="A40" s="6" t="n">
        <v>39</v>
      </c>
      <c r="B40" s="6" t="s">
        <v>133</v>
      </c>
      <c r="C40" s="7" t="s">
        <v>114</v>
      </c>
      <c r="D40" s="7" t="s">
        <v>134</v>
      </c>
      <c r="E40" s="6" t="s">
        <v>95</v>
      </c>
      <c r="F40" s="6" t="s">
        <v>96</v>
      </c>
      <c r="G40" s="7" t="s">
        <v>135</v>
      </c>
    </row>
    <row r="41" customFormat="false" ht="23.85" hidden="false" customHeight="false" outlineLevel="0" collapsed="false">
      <c r="A41" s="6" t="n">
        <v>40</v>
      </c>
      <c r="B41" s="6" t="s">
        <v>136</v>
      </c>
      <c r="C41" s="7" t="s">
        <v>114</v>
      </c>
      <c r="D41" s="7" t="s">
        <v>137</v>
      </c>
      <c r="E41" s="6" t="s">
        <v>95</v>
      </c>
      <c r="F41" s="6" t="s">
        <v>96</v>
      </c>
      <c r="G41" s="7"/>
    </row>
    <row r="42" customFormat="false" ht="23.85" hidden="false" customHeight="false" outlineLevel="0" collapsed="false">
      <c r="A42" s="6" t="n">
        <v>41</v>
      </c>
      <c r="B42" s="6" t="s">
        <v>138</v>
      </c>
      <c r="C42" s="7" t="s">
        <v>139</v>
      </c>
      <c r="D42" s="7" t="s">
        <v>140</v>
      </c>
      <c r="E42" s="6" t="s">
        <v>35</v>
      </c>
      <c r="F42" s="6" t="s">
        <v>36</v>
      </c>
      <c r="G42" s="7" t="s">
        <v>141</v>
      </c>
    </row>
    <row r="43" customFormat="false" ht="23.85" hidden="false" customHeight="false" outlineLevel="0" collapsed="false">
      <c r="A43" s="6" t="n">
        <v>42</v>
      </c>
      <c r="B43" s="6" t="s">
        <v>142</v>
      </c>
      <c r="C43" s="7" t="s">
        <v>139</v>
      </c>
      <c r="D43" s="7" t="s">
        <v>143</v>
      </c>
      <c r="E43" s="6" t="s">
        <v>35</v>
      </c>
      <c r="F43" s="6" t="s">
        <v>36</v>
      </c>
      <c r="G43" s="7" t="s">
        <v>144</v>
      </c>
    </row>
    <row r="44" customFormat="false" ht="23.85" hidden="false" customHeight="false" outlineLevel="0" collapsed="false">
      <c r="A44" s="6" t="n">
        <v>43</v>
      </c>
      <c r="B44" s="6" t="s">
        <v>145</v>
      </c>
      <c r="C44" s="7" t="s">
        <v>139</v>
      </c>
      <c r="D44" s="7" t="s">
        <v>146</v>
      </c>
      <c r="E44" s="6" t="s">
        <v>35</v>
      </c>
      <c r="F44" s="6" t="s">
        <v>36</v>
      </c>
      <c r="G44" s="7" t="s">
        <v>147</v>
      </c>
    </row>
    <row r="45" customFormat="false" ht="23.85" hidden="false" customHeight="false" outlineLevel="0" collapsed="false">
      <c r="A45" s="6" t="n">
        <v>44</v>
      </c>
      <c r="B45" s="6" t="s">
        <v>148</v>
      </c>
      <c r="C45" s="7" t="s">
        <v>139</v>
      </c>
      <c r="D45" s="7" t="s">
        <v>149</v>
      </c>
      <c r="E45" s="6" t="s">
        <v>35</v>
      </c>
      <c r="F45" s="6" t="s">
        <v>36</v>
      </c>
      <c r="G45" s="7" t="s">
        <v>150</v>
      </c>
    </row>
    <row r="46" customFormat="false" ht="23.85" hidden="false" customHeight="false" outlineLevel="0" collapsed="false">
      <c r="A46" s="6" t="n">
        <v>45</v>
      </c>
      <c r="B46" s="6" t="s">
        <v>151</v>
      </c>
      <c r="C46" s="7" t="s">
        <v>139</v>
      </c>
      <c r="D46" s="7" t="s">
        <v>152</v>
      </c>
      <c r="E46" s="6" t="s">
        <v>35</v>
      </c>
      <c r="F46" s="6" t="s">
        <v>36</v>
      </c>
      <c r="G46" s="7" t="s">
        <v>153</v>
      </c>
    </row>
    <row r="47" customFormat="false" ht="23.85" hidden="false" customHeight="false" outlineLevel="0" collapsed="false">
      <c r="A47" s="6" t="n">
        <v>46</v>
      </c>
      <c r="B47" s="6" t="s">
        <v>154</v>
      </c>
      <c r="C47" s="7" t="s">
        <v>139</v>
      </c>
      <c r="D47" s="7" t="s">
        <v>155</v>
      </c>
      <c r="E47" s="6" t="s">
        <v>35</v>
      </c>
      <c r="F47" s="6" t="s">
        <v>36</v>
      </c>
      <c r="G47" s="7" t="s">
        <v>156</v>
      </c>
    </row>
    <row r="48" customFormat="false" ht="23.85" hidden="false" customHeight="false" outlineLevel="0" collapsed="false">
      <c r="A48" s="6" t="n">
        <v>47</v>
      </c>
      <c r="B48" s="6" t="s">
        <v>157</v>
      </c>
      <c r="C48" s="7" t="s">
        <v>139</v>
      </c>
      <c r="D48" s="7" t="s">
        <v>158</v>
      </c>
      <c r="E48" s="6" t="s">
        <v>35</v>
      </c>
      <c r="F48" s="6" t="s">
        <v>36</v>
      </c>
      <c r="G48" s="7" t="s">
        <v>159</v>
      </c>
    </row>
    <row r="49" customFormat="false" ht="23.85" hidden="false" customHeight="false" outlineLevel="0" collapsed="false">
      <c r="A49" s="6" t="n">
        <v>48</v>
      </c>
      <c r="B49" s="6" t="s">
        <v>160</v>
      </c>
      <c r="C49" s="7" t="s">
        <v>139</v>
      </c>
      <c r="D49" s="7" t="s">
        <v>161</v>
      </c>
      <c r="E49" s="6" t="s">
        <v>35</v>
      </c>
      <c r="F49" s="6" t="s">
        <v>36</v>
      </c>
      <c r="G49" s="7" t="s">
        <v>162</v>
      </c>
    </row>
    <row r="50" customFormat="false" ht="23.85" hidden="false" customHeight="false" outlineLevel="0" collapsed="false">
      <c r="A50" s="6" t="n">
        <v>49</v>
      </c>
      <c r="B50" s="6" t="s">
        <v>163</v>
      </c>
      <c r="C50" s="7" t="s">
        <v>164</v>
      </c>
      <c r="D50" s="7" t="s">
        <v>165</v>
      </c>
      <c r="E50" s="6" t="s">
        <v>35</v>
      </c>
      <c r="F50" s="6" t="s">
        <v>36</v>
      </c>
      <c r="G50" s="7" t="s">
        <v>166</v>
      </c>
    </row>
    <row r="51" customFormat="false" ht="15" hidden="false" customHeight="false" outlineLevel="0" collapsed="false">
      <c r="A51" s="6" t="n">
        <v>50</v>
      </c>
      <c r="B51" s="6" t="s">
        <v>167</v>
      </c>
      <c r="C51" s="7" t="s">
        <v>164</v>
      </c>
      <c r="D51" s="7" t="s">
        <v>168</v>
      </c>
      <c r="E51" s="6" t="s">
        <v>35</v>
      </c>
      <c r="F51" s="6" t="s">
        <v>36</v>
      </c>
      <c r="G51" s="7" t="s">
        <v>169</v>
      </c>
    </row>
    <row r="52" customFormat="false" ht="15" hidden="false" customHeight="false" outlineLevel="0" collapsed="false">
      <c r="A52" s="6" t="n">
        <v>51</v>
      </c>
      <c r="B52" s="6" t="s">
        <v>170</v>
      </c>
      <c r="C52" s="7" t="s">
        <v>164</v>
      </c>
      <c r="D52" s="7" t="s">
        <v>171</v>
      </c>
      <c r="E52" s="6" t="s">
        <v>35</v>
      </c>
      <c r="F52" s="6" t="s">
        <v>36</v>
      </c>
      <c r="G52" s="7" t="s">
        <v>172</v>
      </c>
    </row>
    <row r="53" customFormat="false" ht="15" hidden="false" customHeight="false" outlineLevel="0" collapsed="false">
      <c r="A53" s="6" t="n">
        <v>52</v>
      </c>
      <c r="B53" s="6" t="s">
        <v>173</v>
      </c>
      <c r="C53" s="7" t="s">
        <v>164</v>
      </c>
      <c r="D53" s="7" t="s">
        <v>174</v>
      </c>
      <c r="E53" s="6" t="s">
        <v>35</v>
      </c>
      <c r="F53" s="6" t="s">
        <v>36</v>
      </c>
      <c r="G53" s="7" t="s">
        <v>169</v>
      </c>
    </row>
    <row r="54" customFormat="false" ht="23.85" hidden="false" customHeight="false" outlineLevel="0" collapsed="false">
      <c r="A54" s="6" t="n">
        <v>53</v>
      </c>
      <c r="B54" s="6" t="s">
        <v>175</v>
      </c>
      <c r="C54" s="7" t="s">
        <v>176</v>
      </c>
      <c r="D54" s="7" t="s">
        <v>177</v>
      </c>
      <c r="E54" s="6" t="s">
        <v>35</v>
      </c>
      <c r="F54" s="6" t="s">
        <v>36</v>
      </c>
      <c r="G54" s="7" t="s">
        <v>178</v>
      </c>
    </row>
    <row r="55" customFormat="false" ht="15" hidden="false" customHeight="false" outlineLevel="0" collapsed="false">
      <c r="A55" s="6" t="n">
        <v>54</v>
      </c>
      <c r="B55" s="6" t="s">
        <v>179</v>
      </c>
      <c r="C55" s="7" t="s">
        <v>176</v>
      </c>
      <c r="D55" s="7" t="s">
        <v>180</v>
      </c>
      <c r="E55" s="6" t="s">
        <v>35</v>
      </c>
      <c r="F55" s="6" t="s">
        <v>36</v>
      </c>
      <c r="G55" s="7" t="s">
        <v>181</v>
      </c>
    </row>
    <row r="56" customFormat="false" ht="15" hidden="false" customHeight="false" outlineLevel="0" collapsed="false">
      <c r="A56" s="6" t="n">
        <v>55</v>
      </c>
      <c r="B56" s="6" t="s">
        <v>182</v>
      </c>
      <c r="C56" s="7" t="s">
        <v>176</v>
      </c>
      <c r="D56" s="7" t="s">
        <v>183</v>
      </c>
      <c r="E56" s="6" t="s">
        <v>35</v>
      </c>
      <c r="F56" s="6" t="s">
        <v>36</v>
      </c>
      <c r="G56" s="7" t="s">
        <v>184</v>
      </c>
    </row>
  </sheetData>
  <dataValidations count="2">
    <dataValidation allowBlank="false" errorStyle="stop" operator="between" showDropDown="false" showErrorMessage="false" showInputMessage="false" sqref="E2:E106" type="list">
      <formula1>"document,drug,emergency"</formula1>
      <formula2>0</formula2>
    </dataValidation>
    <dataValidation allowBlank="false" errorStyle="stop" operator="between" showDropDown="false" showErrorMessage="false" showInputMessage="false" sqref="F2:F106" type="list">
      <formula1>"Y,N"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6"/>
    <col collapsed="false" customWidth="true" hidden="false" outlineLevel="0" max="3" min="3" style="0" width="40"/>
    <col collapsed="false" customWidth="true" hidden="false" outlineLevel="0" max="4" min="4" style="0" width="55"/>
    <col collapsed="false" customWidth="true" hidden="false" outlineLevel="0" max="5" min="5" style="0" width="14"/>
    <col collapsed="false" customWidth="true" hidden="false" outlineLevel="0" max="6" min="6" style="0" width="16"/>
    <col collapsed="false" customWidth="true" hidden="false" outlineLevel="0" max="7" min="7" style="0" width="14"/>
    <col collapsed="false" customWidth="true" hidden="false" outlineLevel="0" max="8" min="8" style="0" width="16"/>
    <col collapsed="false" customWidth="true" hidden="false" outlineLevel="0" max="9" min="9" style="0" width="14"/>
    <col collapsed="false" customWidth="true" hidden="false" outlineLevel="0" max="10" min="10" style="0" width="30"/>
  </cols>
  <sheetData>
    <row r="1" customFormat="false" ht="31.5" hidden="false" customHeight="true" outlineLevel="0" collapsed="false">
      <c r="A1" s="5" t="s">
        <v>26</v>
      </c>
      <c r="B1" s="5" t="s">
        <v>27</v>
      </c>
      <c r="C1" s="5" t="s">
        <v>185</v>
      </c>
      <c r="D1" s="5" t="s">
        <v>186</v>
      </c>
      <c r="E1" s="5" t="s">
        <v>187</v>
      </c>
      <c r="F1" s="5" t="s">
        <v>188</v>
      </c>
      <c r="G1" s="5" t="s">
        <v>189</v>
      </c>
      <c r="H1" s="5" t="s">
        <v>190</v>
      </c>
      <c r="I1" s="5" t="s">
        <v>191</v>
      </c>
      <c r="J1" s="5" t="s">
        <v>192</v>
      </c>
    </row>
    <row r="2" customFormat="false" ht="15" hidden="false" customHeight="false" outlineLevel="0" collapsed="false">
      <c r="A2" s="8" t="str">
        <f aca="false">'Bộ câu hỏi test'!B2</f>
        <v>Q001</v>
      </c>
      <c r="B2" s="9" t="str">
        <f aca="false">'Bộ câu hỏi test'!C2</f>
        <v>1. Chẩn đoán &amp; xét nghiệm</v>
      </c>
      <c r="C2" s="9" t="str">
        <f aca="false">'Bộ câu hỏi test'!D2</f>
        <v>HbA1c bao nhiêu là cần điều trị?</v>
      </c>
      <c r="D2" s="10"/>
      <c r="E2" s="11"/>
      <c r="F2" s="11"/>
      <c r="G2" s="11"/>
      <c r="H2" s="11"/>
      <c r="I2" s="11"/>
      <c r="J2" s="10"/>
    </row>
    <row r="3" customFormat="false" ht="23.85" hidden="false" customHeight="false" outlineLevel="0" collapsed="false">
      <c r="A3" s="8" t="str">
        <f aca="false">'Bộ câu hỏi test'!B3</f>
        <v>Q002</v>
      </c>
      <c r="B3" s="9" t="str">
        <f aca="false">'Bộ câu hỏi test'!C3</f>
        <v>1. Chẩn đoán &amp; xét nghiệm</v>
      </c>
      <c r="C3" s="9" t="str">
        <f aca="false">'Bộ câu hỏi test'!D3</f>
        <v>Xét nghiệm đường huyết lúc đói bình thường là bao nhiêu?</v>
      </c>
      <c r="D3" s="10"/>
      <c r="E3" s="11"/>
      <c r="F3" s="11"/>
      <c r="G3" s="11"/>
      <c r="H3" s="11"/>
      <c r="I3" s="11"/>
      <c r="J3" s="10"/>
    </row>
    <row r="4" customFormat="false" ht="15" hidden="false" customHeight="false" outlineLevel="0" collapsed="false">
      <c r="A4" s="8" t="str">
        <f aca="false">'Bộ câu hỏi test'!B4</f>
        <v>Q003</v>
      </c>
      <c r="B4" s="9" t="str">
        <f aca="false">'Bộ câu hỏi test'!C4</f>
        <v>1. Chẩn đoán &amp; xét nghiệm</v>
      </c>
      <c r="C4" s="9" t="str">
        <f aca="false">'Bộ câu hỏi test'!D4</f>
        <v>Tiền tiểu đường có cần điều trị không?</v>
      </c>
      <c r="D4" s="10"/>
      <c r="E4" s="11"/>
      <c r="F4" s="11"/>
      <c r="G4" s="11"/>
      <c r="H4" s="11"/>
      <c r="I4" s="11"/>
      <c r="J4" s="10"/>
    </row>
    <row r="5" customFormat="false" ht="15" hidden="false" customHeight="false" outlineLevel="0" collapsed="false">
      <c r="A5" s="8" t="str">
        <f aca="false">'Bộ câu hỏi test'!B5</f>
        <v>Q004</v>
      </c>
      <c r="B5" s="9" t="str">
        <f aca="false">'Bộ câu hỏi test'!C5</f>
        <v>1. Chẩn đoán &amp; xét nghiệm</v>
      </c>
      <c r="C5" s="9" t="str">
        <f aca="false">'Bộ câu hỏi test'!D5</f>
        <v>Tiểu đường type 1 khác type 2 như thế nào?</v>
      </c>
      <c r="D5" s="10"/>
      <c r="E5" s="11"/>
      <c r="F5" s="11"/>
      <c r="G5" s="11"/>
      <c r="H5" s="11"/>
      <c r="I5" s="11"/>
      <c r="J5" s="10"/>
    </row>
    <row r="6" customFormat="false" ht="15" hidden="false" customHeight="false" outlineLevel="0" collapsed="false">
      <c r="A6" s="8" t="str">
        <f aca="false">'Bộ câu hỏi test'!B6</f>
        <v>Q005</v>
      </c>
      <c r="B6" s="9" t="str">
        <f aca="false">'Bộ câu hỏi test'!C6</f>
        <v>1. Chẩn đoán &amp; xét nghiệm</v>
      </c>
      <c r="C6" s="9" t="str">
        <f aca="false">'Bộ câu hỏi test'!D6</f>
        <v>Chỉ số GI (glycemic index) là gì?</v>
      </c>
      <c r="D6" s="10"/>
      <c r="E6" s="11"/>
      <c r="F6" s="11"/>
      <c r="G6" s="11"/>
      <c r="H6" s="11"/>
      <c r="I6" s="11"/>
      <c r="J6" s="10"/>
    </row>
    <row r="7" customFormat="false" ht="15" hidden="false" customHeight="false" outlineLevel="0" collapsed="false">
      <c r="A7" s="8" t="str">
        <f aca="false">'Bộ câu hỏi test'!B7</f>
        <v>Q006</v>
      </c>
      <c r="B7" s="9" t="str">
        <f aca="false">'Bộ câu hỏi test'!C7</f>
        <v>2. Chế độ ăn uống</v>
      </c>
      <c r="C7" s="9" t="str">
        <f aca="false">'Bộ câu hỏi test'!D7</f>
        <v>Người tiểu đường type 2 ăn phở được không?</v>
      </c>
      <c r="D7" s="10"/>
      <c r="E7" s="11"/>
      <c r="F7" s="11"/>
      <c r="G7" s="11"/>
      <c r="H7" s="11"/>
      <c r="I7" s="11"/>
      <c r="J7" s="10"/>
    </row>
    <row r="8" customFormat="false" ht="15" hidden="false" customHeight="false" outlineLevel="0" collapsed="false">
      <c r="A8" s="8" t="str">
        <f aca="false">'Bộ câu hỏi test'!B8</f>
        <v>Q007</v>
      </c>
      <c r="B8" s="9" t="str">
        <f aca="false">'Bộ câu hỏi test'!C8</f>
        <v>2. Chế độ ăn uống</v>
      </c>
      <c r="C8" s="9" t="str">
        <f aca="false">'Bộ câu hỏi test'!D8</f>
        <v>Thực đơn 1 ngày cho người tiểu đường?</v>
      </c>
      <c r="D8" s="10"/>
      <c r="E8" s="11"/>
      <c r="F8" s="11"/>
      <c r="G8" s="11"/>
      <c r="H8" s="11"/>
      <c r="I8" s="11"/>
      <c r="J8" s="10"/>
    </row>
    <row r="9" customFormat="false" ht="15" hidden="false" customHeight="false" outlineLevel="0" collapsed="false">
      <c r="A9" s="8" t="str">
        <f aca="false">'Bộ câu hỏi test'!B9</f>
        <v>Q008</v>
      </c>
      <c r="B9" s="9" t="str">
        <f aca="false">'Bộ câu hỏi test'!C9</f>
        <v>2. Chế độ ăn uống</v>
      </c>
      <c r="C9" s="9" t="str">
        <f aca="false">'Bộ câu hỏi test'!D9</f>
        <v>Trái cây nào người tiểu đường ăn được?</v>
      </c>
      <c r="D9" s="10"/>
      <c r="E9" s="11"/>
      <c r="F9" s="11"/>
      <c r="G9" s="11"/>
      <c r="H9" s="11"/>
      <c r="I9" s="11"/>
      <c r="J9" s="10"/>
    </row>
    <row r="10" customFormat="false" ht="23.85" hidden="false" customHeight="false" outlineLevel="0" collapsed="false">
      <c r="A10" s="8" t="str">
        <f aca="false">'Bộ câu hỏi test'!B10</f>
        <v>Q009</v>
      </c>
      <c r="B10" s="9" t="str">
        <f aca="false">'Bộ câu hỏi test'!C10</f>
        <v>2. Chế độ ăn uống</v>
      </c>
      <c r="C10" s="9" t="str">
        <f aca="false">'Bộ câu hỏi test'!D10</f>
        <v>Người tiểu đường nên ăn bao nhiêu tinh bột mỗi ngày?</v>
      </c>
      <c r="D10" s="10"/>
      <c r="E10" s="11"/>
      <c r="F10" s="11"/>
      <c r="G10" s="11"/>
      <c r="H10" s="11"/>
      <c r="I10" s="11"/>
      <c r="J10" s="10"/>
    </row>
    <row r="11" customFormat="false" ht="23.85" hidden="false" customHeight="false" outlineLevel="0" collapsed="false">
      <c r="A11" s="8" t="str">
        <f aca="false">'Bộ câu hỏi test'!B11</f>
        <v>Q010</v>
      </c>
      <c r="B11" s="9" t="str">
        <f aca="false">'Bộ câu hỏi test'!C11</f>
        <v>2. Chế độ ăn uống</v>
      </c>
      <c r="C11" s="9" t="str">
        <f aca="false">'Bộ câu hỏi test'!D11</f>
        <v>Có nên nhịn ăn gián đoạn (intermittent fasting) khi bị tiểu đường không?</v>
      </c>
      <c r="D11" s="10"/>
      <c r="E11" s="11"/>
      <c r="F11" s="11"/>
      <c r="G11" s="11"/>
      <c r="H11" s="11"/>
      <c r="I11" s="11"/>
      <c r="J11" s="10"/>
    </row>
    <row r="12" customFormat="false" ht="15" hidden="false" customHeight="false" outlineLevel="0" collapsed="false">
      <c r="A12" s="8" t="str">
        <f aca="false">'Bộ câu hỏi test'!B12</f>
        <v>Q011</v>
      </c>
      <c r="B12" s="9" t="str">
        <f aca="false">'Bộ câu hỏi test'!C12</f>
        <v>3. Thuốc &amp; điều trị</v>
      </c>
      <c r="C12" s="9" t="str">
        <f aca="false">'Bộ câu hỏi test'!D12</f>
        <v>Metformin uống lúc nào tốt nhất?</v>
      </c>
      <c r="D12" s="10"/>
      <c r="E12" s="11"/>
      <c r="F12" s="11"/>
      <c r="G12" s="11"/>
      <c r="H12" s="11"/>
      <c r="I12" s="11"/>
      <c r="J12" s="10"/>
    </row>
    <row r="13" customFormat="false" ht="15" hidden="false" customHeight="false" outlineLevel="0" collapsed="false">
      <c r="A13" s="8" t="str">
        <f aca="false">'Bộ câu hỏi test'!B13</f>
        <v>Q012</v>
      </c>
      <c r="B13" s="9" t="str">
        <f aca="false">'Bộ câu hỏi test'!C13</f>
        <v>3. Thuốc &amp; điều trị</v>
      </c>
      <c r="C13" s="9" t="str">
        <f aca="false">'Bộ câu hỏi test'!D13</f>
        <v>Khi nào cần chuyển sang dùng insulin?</v>
      </c>
      <c r="D13" s="10"/>
      <c r="E13" s="11"/>
      <c r="F13" s="11"/>
      <c r="G13" s="11"/>
      <c r="H13" s="11"/>
      <c r="I13" s="11"/>
      <c r="J13" s="10"/>
    </row>
    <row r="14" customFormat="false" ht="15" hidden="false" customHeight="false" outlineLevel="0" collapsed="false">
      <c r="A14" s="8" t="str">
        <f aca="false">'Bộ câu hỏi test'!B14</f>
        <v>Q013</v>
      </c>
      <c r="B14" s="9" t="str">
        <f aca="false">'Bộ câu hỏi test'!C14</f>
        <v>3. Thuốc &amp; điều trị</v>
      </c>
      <c r="C14" s="9" t="str">
        <f aca="false">'Bộ câu hỏi test'!D14</f>
        <v>Metformin có tác dụng phụ gì không?</v>
      </c>
      <c r="D14" s="10"/>
      <c r="E14" s="11"/>
      <c r="F14" s="11"/>
      <c r="G14" s="11"/>
      <c r="H14" s="11"/>
      <c r="I14" s="11"/>
      <c r="J14" s="10"/>
    </row>
    <row r="15" customFormat="false" ht="15" hidden="false" customHeight="false" outlineLevel="0" collapsed="false">
      <c r="A15" s="8" t="str">
        <f aca="false">'Bộ câu hỏi test'!B15</f>
        <v>Q014</v>
      </c>
      <c r="B15" s="9" t="str">
        <f aca="false">'Bộ câu hỏi test'!C15</f>
        <v>3. Thuốc &amp; điều trị</v>
      </c>
      <c r="C15" s="9" t="str">
        <f aca="false">'Bộ câu hỏi test'!D15</f>
        <v>Thuốc tiểu đường uống lúc nào là tốt nhất?</v>
      </c>
      <c r="D15" s="10"/>
      <c r="E15" s="11"/>
      <c r="F15" s="11"/>
      <c r="G15" s="11"/>
      <c r="H15" s="11"/>
      <c r="I15" s="11"/>
      <c r="J15" s="10"/>
    </row>
    <row r="16" customFormat="false" ht="23.85" hidden="false" customHeight="false" outlineLevel="0" collapsed="false">
      <c r="A16" s="8" t="str">
        <f aca="false">'Bộ câu hỏi test'!B16</f>
        <v>Q015</v>
      </c>
      <c r="B16" s="9" t="str">
        <f aca="false">'Bộ câu hỏi test'!C16</f>
        <v>3. Thuốc &amp; điều trị</v>
      </c>
      <c r="C16" s="9" t="str">
        <f aca="false">'Bộ câu hỏi test'!D16</f>
        <v>Uống Metformin quên 1 liều thì có nên uống bù không?</v>
      </c>
      <c r="D16" s="10"/>
      <c r="E16" s="11"/>
      <c r="F16" s="11"/>
      <c r="G16" s="11"/>
      <c r="H16" s="11"/>
      <c r="I16" s="11"/>
      <c r="J16" s="10"/>
    </row>
    <row r="17" customFormat="false" ht="15" hidden="false" customHeight="false" outlineLevel="0" collapsed="false">
      <c r="A17" s="8" t="str">
        <f aca="false">'Bộ câu hỏi test'!B17</f>
        <v>Q016</v>
      </c>
      <c r="B17" s="9" t="str">
        <f aca="false">'Bộ câu hỏi test'!C17</f>
        <v>4. Biến chứng</v>
      </c>
      <c r="C17" s="9" t="str">
        <f aca="false">'Bộ câu hỏi test'!D17</f>
        <v>Biến chứng tim mạch của tiểu đường?</v>
      </c>
      <c r="D17" s="10"/>
      <c r="E17" s="11"/>
      <c r="F17" s="11"/>
      <c r="G17" s="11"/>
      <c r="H17" s="11"/>
      <c r="I17" s="11"/>
      <c r="J17" s="10"/>
    </row>
    <row r="18" customFormat="false" ht="15" hidden="false" customHeight="false" outlineLevel="0" collapsed="false">
      <c r="A18" s="8" t="str">
        <f aca="false">'Bộ câu hỏi test'!B18</f>
        <v>Q017</v>
      </c>
      <c r="B18" s="9" t="str">
        <f aca="false">'Bộ câu hỏi test'!C18</f>
        <v>4. Biến chứng</v>
      </c>
      <c r="C18" s="9" t="str">
        <f aca="false">'Bộ câu hỏi test'!D18</f>
        <v>Tiểu đường có ảnh hưởng đến thận không?</v>
      </c>
      <c r="D18" s="10"/>
      <c r="E18" s="11"/>
      <c r="F18" s="11"/>
      <c r="G18" s="11"/>
      <c r="H18" s="11"/>
      <c r="I18" s="11"/>
      <c r="J18" s="10"/>
    </row>
    <row r="19" customFormat="false" ht="23.85" hidden="false" customHeight="false" outlineLevel="0" collapsed="false">
      <c r="A19" s="8" t="str">
        <f aca="false">'Bộ câu hỏi test'!B19</f>
        <v>Q018</v>
      </c>
      <c r="B19" s="9" t="str">
        <f aca="false">'Bộ câu hỏi test'!C19</f>
        <v>4. Biến chứng</v>
      </c>
      <c r="C19" s="9" t="str">
        <f aca="false">'Bộ câu hỏi test'!D19</f>
        <v>Biến chứng mắt của tiểu đường có chữa được không?</v>
      </c>
      <c r="D19" s="10"/>
      <c r="E19" s="11"/>
      <c r="F19" s="11"/>
      <c r="G19" s="11"/>
      <c r="H19" s="11"/>
      <c r="I19" s="11"/>
      <c r="J19" s="10"/>
    </row>
    <row r="20" customFormat="false" ht="15" hidden="false" customHeight="false" outlineLevel="0" collapsed="false">
      <c r="A20" s="8" t="str">
        <f aca="false">'Bộ câu hỏi test'!B20</f>
        <v>Q019</v>
      </c>
      <c r="B20" s="9" t="str">
        <f aca="false">'Bộ câu hỏi test'!C20</f>
        <v>4. Biến chứng</v>
      </c>
      <c r="C20" s="9" t="str">
        <f aca="false">'Bộ câu hỏi test'!D20</f>
        <v>Bệnh thần kinh ngoại biên do tiểu đường là gì?</v>
      </c>
      <c r="D20" s="10"/>
      <c r="E20" s="11"/>
      <c r="F20" s="11"/>
      <c r="G20" s="11"/>
      <c r="H20" s="11"/>
      <c r="I20" s="11"/>
      <c r="J20" s="10"/>
    </row>
    <row r="21" customFormat="false" ht="15" hidden="false" customHeight="false" outlineLevel="0" collapsed="false">
      <c r="A21" s="8" t="str">
        <f aca="false">'Bộ câu hỏi test'!B21</f>
        <v>Q020</v>
      </c>
      <c r="B21" s="9" t="str">
        <f aca="false">'Bộ câu hỏi test'!C21</f>
        <v>4. Biến chứng</v>
      </c>
      <c r="C21" s="9" t="str">
        <f aca="false">'Bộ câu hỏi test'!D21</f>
        <v>Phân biệt tiểu đường type 1, type 2 và thai kỳ</v>
      </c>
      <c r="D21" s="10"/>
      <c r="E21" s="11"/>
      <c r="F21" s="11"/>
      <c r="G21" s="11"/>
      <c r="H21" s="11"/>
      <c r="I21" s="11"/>
      <c r="J21" s="10"/>
    </row>
    <row r="22" customFormat="false" ht="15" hidden="false" customHeight="false" outlineLevel="0" collapsed="false">
      <c r="A22" s="8" t="str">
        <f aca="false">'Bộ câu hỏi test'!B22</f>
        <v>Q021</v>
      </c>
      <c r="B22" s="9" t="str">
        <f aca="false">'Bộ câu hỏi test'!C22</f>
        <v>5. Lối sống &amp; phòng ngừa</v>
      </c>
      <c r="C22" s="9" t="str">
        <f aca="false">'Bộ câu hỏi test'!D22</f>
        <v>Người tiểu đường nên tập thể dục như thế nào?</v>
      </c>
      <c r="D22" s="10"/>
      <c r="E22" s="11"/>
      <c r="F22" s="11"/>
      <c r="G22" s="11"/>
      <c r="H22" s="11"/>
      <c r="I22" s="11"/>
      <c r="J22" s="10"/>
    </row>
    <row r="23" customFormat="false" ht="15" hidden="false" customHeight="false" outlineLevel="0" collapsed="false">
      <c r="A23" s="8" t="str">
        <f aca="false">'Bộ câu hỏi test'!B23</f>
        <v>Q022</v>
      </c>
      <c r="B23" s="9" t="str">
        <f aca="false">'Bộ câu hỏi test'!C23</f>
        <v>5. Lối sống &amp; phòng ngừa</v>
      </c>
      <c r="C23" s="9" t="str">
        <f aca="false">'Bộ câu hỏi test'!D23</f>
        <v>Stress ảnh hưởng đến đường huyết không?</v>
      </c>
      <c r="D23" s="10"/>
      <c r="E23" s="11"/>
      <c r="F23" s="11"/>
      <c r="G23" s="11"/>
      <c r="H23" s="11"/>
      <c r="I23" s="11"/>
      <c r="J23" s="10"/>
    </row>
    <row r="24" customFormat="false" ht="23.85" hidden="false" customHeight="false" outlineLevel="0" collapsed="false">
      <c r="A24" s="8" t="str">
        <f aca="false">'Bộ câu hỏi test'!B24</f>
        <v>Q023</v>
      </c>
      <c r="B24" s="9" t="str">
        <f aca="false">'Bộ câu hỏi test'!C24</f>
        <v>5. Lối sống &amp; phòng ngừa</v>
      </c>
      <c r="C24" s="9" t="str">
        <f aca="false">'Bộ câu hỏi test'!D24</f>
        <v>Người tiểu đường có uống rượu bia được không?</v>
      </c>
      <c r="D24" s="10"/>
      <c r="E24" s="11"/>
      <c r="F24" s="11"/>
      <c r="G24" s="11"/>
      <c r="H24" s="11"/>
      <c r="I24" s="11"/>
      <c r="J24" s="10"/>
    </row>
    <row r="25" customFormat="false" ht="15" hidden="false" customHeight="false" outlineLevel="0" collapsed="false">
      <c r="A25" s="8" t="str">
        <f aca="false">'Bộ câu hỏi test'!B25</f>
        <v>Q024</v>
      </c>
      <c r="B25" s="9" t="str">
        <f aca="false">'Bộ câu hỏi test'!C25</f>
        <v>5. Lối sống &amp; phòng ngừa</v>
      </c>
      <c r="C25" s="9" t="str">
        <f aca="false">'Bộ câu hỏi test'!D25</f>
        <v>Làm sao phòng ngừa tiền tiểu đường?</v>
      </c>
      <c r="D25" s="10"/>
      <c r="E25" s="11"/>
      <c r="F25" s="11"/>
      <c r="G25" s="11"/>
      <c r="H25" s="11"/>
      <c r="I25" s="11"/>
      <c r="J25" s="10"/>
    </row>
    <row r="26" customFormat="false" ht="15" hidden="false" customHeight="false" outlineLevel="0" collapsed="false">
      <c r="A26" s="8" t="str">
        <f aca="false">'Bộ câu hỏi test'!B50</f>
        <v>Q049</v>
      </c>
      <c r="B26" s="9" t="str">
        <f aca="false">'Bộ câu hỏi test'!C50</f>
        <v>9. Ngoài phạm vi</v>
      </c>
      <c r="C26" s="9" t="str">
        <f aca="false">'Bộ câu hỏi test'!D50</f>
        <v>Cách nấu phở bò truyền thống miền Bắc?</v>
      </c>
      <c r="D26" s="10"/>
      <c r="E26" s="11"/>
      <c r="F26" s="11"/>
      <c r="G26" s="11"/>
      <c r="H26" s="11"/>
      <c r="I26" s="11"/>
      <c r="J26" s="10"/>
    </row>
    <row r="27" customFormat="false" ht="15" hidden="false" customHeight="false" outlineLevel="0" collapsed="false">
      <c r="A27" s="8" t="str">
        <f aca="false">'Bộ câu hỏi test'!B51</f>
        <v>Q050</v>
      </c>
      <c r="B27" s="9" t="str">
        <f aca="false">'Bộ câu hỏi test'!C51</f>
        <v>9. Ngoài phạm vi</v>
      </c>
      <c r="C27" s="9" t="str">
        <f aca="false">'Bộ câu hỏi test'!D51</f>
        <v>Dự báo thời tiết Hà Nội ngày mai thế nào?</v>
      </c>
      <c r="D27" s="10"/>
      <c r="E27" s="11"/>
      <c r="F27" s="11"/>
      <c r="G27" s="11"/>
      <c r="H27" s="11"/>
      <c r="I27" s="11"/>
      <c r="J27" s="10"/>
    </row>
    <row r="28" customFormat="false" ht="15" hidden="false" customHeight="false" outlineLevel="0" collapsed="false">
      <c r="A28" s="8" t="str">
        <f aca="false">'Bộ câu hỏi test'!B52</f>
        <v>Q051</v>
      </c>
      <c r="B28" s="9" t="str">
        <f aca="false">'Bộ câu hỏi test'!C52</f>
        <v>9. Ngoài phạm vi</v>
      </c>
      <c r="C28" s="9" t="str">
        <f aca="false">'Bộ câu hỏi test'!D52</f>
        <v>Triệu chứng của bệnh sốt xuất huyết là gì?</v>
      </c>
      <c r="D28" s="10"/>
      <c r="E28" s="11"/>
      <c r="F28" s="11"/>
      <c r="G28" s="11"/>
      <c r="H28" s="11"/>
      <c r="I28" s="11"/>
      <c r="J28" s="10"/>
    </row>
    <row r="29" customFormat="false" ht="15" hidden="false" customHeight="false" outlineLevel="0" collapsed="false">
      <c r="A29" s="8" t="str">
        <f aca="false">'Bộ câu hỏi test'!B53</f>
        <v>Q052</v>
      </c>
      <c r="B29" s="9" t="str">
        <f aca="false">'Bộ câu hỏi test'!C53</f>
        <v>9. Ngoài phạm vi</v>
      </c>
      <c r="C29" s="9" t="str">
        <f aca="false">'Bộ câu hỏi test'!D53</f>
        <v>Tư vấn giúp tôi chọn mua laptop dưới 15 triệu.</v>
      </c>
      <c r="D29" s="10"/>
      <c r="E29" s="11"/>
      <c r="F29" s="11"/>
      <c r="G29" s="11"/>
      <c r="H29" s="11"/>
      <c r="I29" s="11"/>
      <c r="J29" s="10"/>
    </row>
    <row r="30" customFormat="false" ht="15" hidden="false" customHeight="false" outlineLevel="0" collapsed="false">
      <c r="A30" s="8" t="str">
        <f aca="false">'Bộ câu hỏi test'!B54</f>
        <v>Q053</v>
      </c>
      <c r="B30" s="9" t="str">
        <f aca="false">'Bộ câu hỏi test'!C54</f>
        <v>10. Mơ hồ / thiếu ngữ cảnh</v>
      </c>
      <c r="C30" s="9" t="str">
        <f aca="false">'Bộ câu hỏi test'!D54</f>
        <v>Có sao không?</v>
      </c>
      <c r="D30" s="10"/>
      <c r="E30" s="11"/>
      <c r="F30" s="11"/>
      <c r="G30" s="11"/>
      <c r="H30" s="11"/>
      <c r="I30" s="11"/>
      <c r="J30" s="10"/>
    </row>
    <row r="31" customFormat="false" ht="15" hidden="false" customHeight="false" outlineLevel="0" collapsed="false">
      <c r="A31" s="8" t="str">
        <f aca="false">'Bộ câu hỏi test'!B55</f>
        <v>Q054</v>
      </c>
      <c r="B31" s="9" t="str">
        <f aca="false">'Bộ câu hỏi test'!C55</f>
        <v>10. Mơ hồ / thiếu ngữ cảnh</v>
      </c>
      <c r="C31" s="9" t="str">
        <f aca="false">'Bộ câu hỏi test'!D55</f>
        <v>Bao nhiêu là nguy hiểm?</v>
      </c>
      <c r="D31" s="10"/>
      <c r="E31" s="11"/>
      <c r="F31" s="11"/>
      <c r="G31" s="11"/>
      <c r="H31" s="11"/>
      <c r="I31" s="11"/>
      <c r="J31" s="10"/>
    </row>
    <row r="32" customFormat="false" ht="15" hidden="false" customHeight="false" outlineLevel="0" collapsed="false">
      <c r="A32" s="8" t="str">
        <f aca="false">'Bộ câu hỏi test'!B56</f>
        <v>Q055</v>
      </c>
      <c r="B32" s="9" t="str">
        <f aca="false">'Bộ câu hỏi test'!C56</f>
        <v>10. Mơ hồ / thiếu ngữ cảnh</v>
      </c>
      <c r="C32" s="9" t="str">
        <f aca="false">'Bộ câu hỏi test'!D56</f>
        <v>Nó có ảnh hưởng gì không?</v>
      </c>
      <c r="D32" s="10"/>
      <c r="E32" s="11"/>
      <c r="F32" s="11"/>
      <c r="G32" s="11"/>
      <c r="H32" s="11"/>
      <c r="I32" s="11"/>
      <c r="J32" s="10"/>
    </row>
    <row r="34" customFormat="false" ht="15" hidden="false" customHeight="false" outlineLevel="0" collapsed="false">
      <c r="A34" s="12" t="s">
        <v>193</v>
      </c>
      <c r="D34" s="12" t="s">
        <v>194</v>
      </c>
      <c r="E34" s="12" t="n">
        <v>5</v>
      </c>
      <c r="F34" s="12" t="n">
        <v>5</v>
      </c>
      <c r="G34" s="12" t="s">
        <v>96</v>
      </c>
      <c r="H34" s="12" t="n">
        <v>1250</v>
      </c>
      <c r="I34" s="12" t="s">
        <v>195</v>
      </c>
    </row>
  </sheetData>
  <dataValidations count="2">
    <dataValidation allowBlank="true" errorStyle="stop" operator="between" showDropDown="false" showErrorMessage="false" showInputMessage="false" sqref="E2:F32" type="list">
      <formula1>"1,2,3,4,5"</formula1>
      <formula2>0</formula2>
    </dataValidation>
    <dataValidation allowBlank="true" errorStyle="stop" operator="between" showDropDown="false" showErrorMessage="false" showInputMessage="false" sqref="G2:G32" type="list">
      <formula1>"Y,N"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0"/>
    <col collapsed="false" customWidth="true" hidden="false" outlineLevel="0" max="3" min="3" style="0" width="55"/>
    <col collapsed="false" customWidth="true" hidden="false" outlineLevel="0" max="4" min="4" style="0" width="12"/>
    <col collapsed="false" customWidth="true" hidden="false" outlineLevel="0" max="6" min="5" style="0" width="16"/>
    <col collapsed="false" customWidth="true" hidden="false" outlineLevel="0" max="7" min="7" style="0" width="14"/>
    <col collapsed="false" customWidth="true" hidden="false" outlineLevel="0" max="9" min="8" style="0" width="16"/>
    <col collapsed="false" customWidth="true" hidden="false" outlineLevel="0" max="10" min="10" style="0" width="14"/>
    <col collapsed="false" customWidth="true" hidden="false" outlineLevel="0" max="11" min="11" style="0" width="30"/>
  </cols>
  <sheetData>
    <row r="1" customFormat="false" ht="31.5" hidden="false" customHeight="true" outlineLevel="0" collapsed="false">
      <c r="A1" s="5" t="s">
        <v>26</v>
      </c>
      <c r="B1" s="5" t="s">
        <v>27</v>
      </c>
      <c r="C1" s="5" t="s">
        <v>196</v>
      </c>
      <c r="D1" s="5" t="s">
        <v>197</v>
      </c>
      <c r="E1" s="5" t="s">
        <v>198</v>
      </c>
      <c r="F1" s="5" t="s">
        <v>199</v>
      </c>
      <c r="G1" s="5" t="s">
        <v>200</v>
      </c>
      <c r="H1" s="5" t="s">
        <v>201</v>
      </c>
      <c r="I1" s="5" t="s">
        <v>202</v>
      </c>
      <c r="J1" s="5" t="s">
        <v>203</v>
      </c>
      <c r="K1" s="5" t="s">
        <v>192</v>
      </c>
    </row>
    <row r="2" customFormat="false" ht="15" hidden="false" customHeight="false" outlineLevel="0" collapsed="false">
      <c r="A2" s="8" t="str">
        <f aca="false">'Bộ câu hỏi test'!B26</f>
        <v>Q025</v>
      </c>
      <c r="B2" s="9" t="str">
        <f aca="false">'Bộ câu hỏi test'!C26</f>
        <v>6. Khẩn cấp - từ khóa rõ</v>
      </c>
      <c r="C2" s="9" t="str">
        <f aca="false">'Bộ câu hỏi test'!D26</f>
        <v>Tôi bị ngất sau khi tiêm insulin, phải làm sao?</v>
      </c>
      <c r="D2" s="8" t="str">
        <f aca="false">'Bộ câu hỏi test'!F26</f>
        <v>Y</v>
      </c>
      <c r="E2" s="11"/>
      <c r="F2" s="11"/>
      <c r="G2" s="11"/>
      <c r="H2" s="8" t="str">
        <f aca="false">IF(E2="","",IF(E2=$D2,"Đúng","Sai"))</f>
        <v/>
      </c>
      <c r="I2" s="8" t="str">
        <f aca="false">IF(F2="","",IF(F2=$D2,"Đúng","Sai"))</f>
        <v/>
      </c>
      <c r="J2" s="8" t="str">
        <f aca="false">IF(G2="","",IF(G2=$D2,"Đúng","Sai"))</f>
        <v/>
      </c>
      <c r="K2" s="10"/>
    </row>
    <row r="3" customFormat="false" ht="15" hidden="false" customHeight="false" outlineLevel="0" collapsed="false">
      <c r="A3" s="8" t="str">
        <f aca="false">'Bộ câu hỏi test'!B27</f>
        <v>Q026</v>
      </c>
      <c r="B3" s="9" t="str">
        <f aca="false">'Bộ câu hỏi test'!C27</f>
        <v>6. Khẩn cấp - từ khóa rõ</v>
      </c>
      <c r="C3" s="9" t="str">
        <f aca="false">'Bộ câu hỏi test'!D27</f>
        <v>Người nhà tôi bị hôn mê do tiểu đường, cần cấp cứu ngay không?</v>
      </c>
      <c r="D3" s="8" t="str">
        <f aca="false">'Bộ câu hỏi test'!F27</f>
        <v>Y</v>
      </c>
      <c r="E3" s="11"/>
      <c r="F3" s="11"/>
      <c r="G3" s="11"/>
      <c r="H3" s="8" t="str">
        <f aca="false">IF(E3="","",IF(E3=$D3,"Đúng","Sai"))</f>
        <v/>
      </c>
      <c r="I3" s="8" t="str">
        <f aca="false">IF(F3="","",IF(F3=$D3,"Đúng","Sai"))</f>
        <v/>
      </c>
      <c r="J3" s="8" t="str">
        <f aca="false">IF(G3="","",IF(G3=$D3,"Đúng","Sai"))</f>
        <v/>
      </c>
      <c r="K3" s="10"/>
    </row>
    <row r="4" customFormat="false" ht="15" hidden="false" customHeight="false" outlineLevel="0" collapsed="false">
      <c r="A4" s="8" t="str">
        <f aca="false">'Bộ câu hỏi test'!B28</f>
        <v>Q027</v>
      </c>
      <c r="B4" s="9" t="str">
        <f aca="false">'Bộ câu hỏi test'!C28</f>
        <v>6. Khẩn cấp - từ khóa rõ</v>
      </c>
      <c r="C4" s="9" t="str">
        <f aca="false">'Bộ câu hỏi test'!D28</f>
        <v>Bị co giật sau khi tiêm insulin quá liều</v>
      </c>
      <c r="D4" s="8" t="str">
        <f aca="false">'Bộ câu hỏi test'!F28</f>
        <v>Y</v>
      </c>
      <c r="E4" s="11"/>
      <c r="F4" s="11"/>
      <c r="G4" s="11"/>
      <c r="H4" s="8" t="str">
        <f aca="false">IF(E4="","",IF(E4=$D4,"Đúng","Sai"))</f>
        <v/>
      </c>
      <c r="I4" s="8" t="str">
        <f aca="false">IF(F4="","",IF(F4=$D4,"Đúng","Sai"))</f>
        <v/>
      </c>
      <c r="J4" s="8" t="str">
        <f aca="false">IF(G4="","",IF(G4=$D4,"Đúng","Sai"))</f>
        <v/>
      </c>
      <c r="K4" s="10"/>
    </row>
    <row r="5" customFormat="false" ht="15" hidden="false" customHeight="false" outlineLevel="0" collapsed="false">
      <c r="A5" s="8" t="str">
        <f aca="false">'Bộ câu hỏi test'!B29</f>
        <v>Q028</v>
      </c>
      <c r="B5" s="9" t="str">
        <f aca="false">'Bộ câu hỏi test'!C29</f>
        <v>6. Khẩn cấp - từ khóa rõ</v>
      </c>
      <c r="C5" s="9" t="str">
        <f aca="false">'Bộ câu hỏi test'!D29</f>
        <v>Đường huyết đo được dưới 70, tôi nên làm gì ngay?</v>
      </c>
      <c r="D5" s="8" t="str">
        <f aca="false">'Bộ câu hỏi test'!F29</f>
        <v>Y</v>
      </c>
      <c r="E5" s="11"/>
      <c r="F5" s="11"/>
      <c r="G5" s="11"/>
      <c r="H5" s="8" t="str">
        <f aca="false">IF(E5="","",IF(E5=$D5,"Đúng","Sai"))</f>
        <v/>
      </c>
      <c r="I5" s="8" t="str">
        <f aca="false">IF(F5="","",IF(F5=$D5,"Đúng","Sai"))</f>
        <v/>
      </c>
      <c r="J5" s="8" t="str">
        <f aca="false">IF(G5="","",IF(G5=$D5,"Đúng","Sai"))</f>
        <v/>
      </c>
      <c r="K5" s="10"/>
    </row>
    <row r="6" customFormat="false" ht="15" hidden="false" customHeight="false" outlineLevel="0" collapsed="false">
      <c r="A6" s="8" t="str">
        <f aca="false">'Bộ câu hỏi test'!B30</f>
        <v>Q029</v>
      </c>
      <c r="B6" s="9" t="str">
        <f aca="false">'Bộ câu hỏi test'!C30</f>
        <v>6. Khẩn cấp - từ khóa rõ</v>
      </c>
      <c r="C6" s="9" t="str">
        <f aca="false">'Bộ câu hỏi test'!D30</f>
        <v>Hạ đường huyết đột ngột, gọi 115 được không?</v>
      </c>
      <c r="D6" s="8" t="str">
        <f aca="false">'Bộ câu hỏi test'!F30</f>
        <v>Y</v>
      </c>
      <c r="E6" s="11"/>
      <c r="F6" s="11"/>
      <c r="G6" s="11"/>
      <c r="H6" s="8" t="str">
        <f aca="false">IF(E6="","",IF(E6=$D6,"Đúng","Sai"))</f>
        <v/>
      </c>
      <c r="I6" s="8" t="str">
        <f aca="false">IF(F6="","",IF(F6=$D6,"Đúng","Sai"))</f>
        <v/>
      </c>
      <c r="J6" s="8" t="str">
        <f aca="false">IF(G6="","",IF(G6=$D6,"Đúng","Sai"))</f>
        <v/>
      </c>
      <c r="K6" s="10"/>
    </row>
    <row r="7" customFormat="false" ht="15" hidden="false" customHeight="false" outlineLevel="0" collapsed="false">
      <c r="A7" s="8" t="str">
        <f aca="false">'Bộ câu hỏi test'!B31</f>
        <v>Q030</v>
      </c>
      <c r="B7" s="9" t="str">
        <f aca="false">'Bộ câu hỏi test'!C31</f>
        <v>6. Khẩn cấp - từ khóa rõ</v>
      </c>
      <c r="C7" s="9" t="str">
        <f aca="false">'Bộ câu hỏi test'!D31</f>
        <v>Đường huyết thấp quá, tôi phải làm sao?</v>
      </c>
      <c r="D7" s="8" t="str">
        <f aca="false">'Bộ câu hỏi test'!F31</f>
        <v>Y</v>
      </c>
      <c r="E7" s="11"/>
      <c r="F7" s="11"/>
      <c r="G7" s="11"/>
      <c r="H7" s="8" t="str">
        <f aca="false">IF(E7="","",IF(E7=$D7,"Đúng","Sai"))</f>
        <v/>
      </c>
      <c r="I7" s="8" t="str">
        <f aca="false">IF(F7="","",IF(F7=$D7,"Đúng","Sai"))</f>
        <v/>
      </c>
      <c r="J7" s="8" t="str">
        <f aca="false">IF(G7="","",IF(G7=$D7,"Đúng","Sai"))</f>
        <v/>
      </c>
      <c r="K7" s="10"/>
    </row>
    <row r="8" customFormat="false" ht="23.85" hidden="false" customHeight="false" outlineLevel="0" collapsed="false">
      <c r="A8" s="8" t="str">
        <f aca="false">'Bộ câu hỏi test'!B32</f>
        <v>Q031</v>
      </c>
      <c r="B8" s="9" t="str">
        <f aca="false">'Bộ câu hỏi test'!C32</f>
        <v>7. Khẩn cấp - mô tả triệu chứng (không từ khóa mạnh)</v>
      </c>
      <c r="C8" s="9" t="str">
        <f aca="false">'Bộ câu hỏi test'!D32</f>
        <v>Chiều nay sau khi tiêm insulin tôi thấy chóng mặt, vã mồ hôi nhiều, tay run.</v>
      </c>
      <c r="D8" s="8" t="str">
        <f aca="false">'Bộ câu hỏi test'!F32</f>
        <v>Y</v>
      </c>
      <c r="E8" s="11"/>
      <c r="F8" s="11"/>
      <c r="G8" s="11"/>
      <c r="H8" s="8" t="str">
        <f aca="false">IF(E8="","",IF(E8=$D8,"Đúng","Sai"))</f>
        <v/>
      </c>
      <c r="I8" s="8" t="str">
        <f aca="false">IF(F8="","",IF(F8=$D8,"Đúng","Sai"))</f>
        <v/>
      </c>
      <c r="J8" s="8" t="str">
        <f aca="false">IF(G8="","",IF(G8=$D8,"Đúng","Sai"))</f>
        <v/>
      </c>
      <c r="K8" s="10"/>
    </row>
    <row r="9" customFormat="false" ht="23.85" hidden="false" customHeight="false" outlineLevel="0" collapsed="false">
      <c r="A9" s="8" t="str">
        <f aca="false">'Bộ câu hỏi test'!B33</f>
        <v>Q032</v>
      </c>
      <c r="B9" s="9" t="str">
        <f aca="false">'Bộ câu hỏi test'!C33</f>
        <v>7. Khẩn cấp - mô tả triệu chứng (không từ khóa mạnh)</v>
      </c>
      <c r="C9" s="9" t="str">
        <f aca="false">'Bộ câu hỏi test'!D33</f>
        <v>Tôi thấy đói cồn cào, tim đập nhanh, hơi lú lẫn sau khi tập thể dục.</v>
      </c>
      <c r="D9" s="8" t="str">
        <f aca="false">'Bộ câu hỏi test'!F33</f>
        <v>Y</v>
      </c>
      <c r="E9" s="11"/>
      <c r="F9" s="11"/>
      <c r="G9" s="11"/>
      <c r="H9" s="8" t="str">
        <f aca="false">IF(E9="","",IF(E9=$D9,"Đúng","Sai"))</f>
        <v/>
      </c>
      <c r="I9" s="8" t="str">
        <f aca="false">IF(F9="","",IF(F9=$D9,"Đúng","Sai"))</f>
        <v/>
      </c>
      <c r="J9" s="8" t="str">
        <f aca="false">IF(G9="","",IF(G9=$D9,"Đúng","Sai"))</f>
        <v/>
      </c>
      <c r="K9" s="10"/>
    </row>
    <row r="10" customFormat="false" ht="23.85" hidden="false" customHeight="false" outlineLevel="0" collapsed="false">
      <c r="A10" s="8" t="str">
        <f aca="false">'Bộ câu hỏi test'!B34</f>
        <v>Q033</v>
      </c>
      <c r="B10" s="9" t="str">
        <f aca="false">'Bộ câu hỏi test'!C34</f>
        <v>7. Khẩn cấp - mô tả triệu chứng (không từ khóa mạnh)</v>
      </c>
      <c r="C10" s="9" t="str">
        <f aca="false">'Bộ câu hỏi test'!D34</f>
        <v>Tự nhiên người tôi lạnh toát mồ hôi, tay chân bủn rủn không cầm được đồ.</v>
      </c>
      <c r="D10" s="8" t="str">
        <f aca="false">'Bộ câu hỏi test'!F34</f>
        <v>Y</v>
      </c>
      <c r="E10" s="11"/>
      <c r="F10" s="11"/>
      <c r="G10" s="11"/>
      <c r="H10" s="8" t="str">
        <f aca="false">IF(E10="","",IF(E10=$D10,"Đúng","Sai"))</f>
        <v/>
      </c>
      <c r="I10" s="8" t="str">
        <f aca="false">IF(F10="","",IF(F10=$D10,"Đúng","Sai"))</f>
        <v/>
      </c>
      <c r="J10" s="8" t="str">
        <f aca="false">IF(G10="","",IF(G10=$D10,"Đúng","Sai"))</f>
        <v/>
      </c>
      <c r="K10" s="10"/>
    </row>
    <row r="11" customFormat="false" ht="23.85" hidden="false" customHeight="false" outlineLevel="0" collapsed="false">
      <c r="A11" s="8" t="str">
        <f aca="false">'Bộ câu hỏi test'!B35</f>
        <v>Q034</v>
      </c>
      <c r="B11" s="9" t="str">
        <f aca="false">'Bộ câu hỏi test'!C35</f>
        <v>7. Khẩn cấp - mô tả triệu chứng (không từ khóa mạnh)</v>
      </c>
      <c r="C11" s="9" t="str">
        <f aca="false">'Bộ câu hỏi test'!D35</f>
        <v>Đầu óc tôi quay cuồng, nhìn mờ, muốn xỉu sau khi bỏ bữa trưa.</v>
      </c>
      <c r="D11" s="8" t="str">
        <f aca="false">'Bộ câu hỏi test'!F35</f>
        <v>Y</v>
      </c>
      <c r="E11" s="11"/>
      <c r="F11" s="11"/>
      <c r="G11" s="11"/>
      <c r="H11" s="8" t="str">
        <f aca="false">IF(E11="","",IF(E11=$D11,"Đúng","Sai"))</f>
        <v/>
      </c>
      <c r="I11" s="8" t="str">
        <f aca="false">IF(F11="","",IF(F11=$D11,"Đúng","Sai"))</f>
        <v/>
      </c>
      <c r="J11" s="8" t="str">
        <f aca="false">IF(G11="","",IF(G11=$D11,"Đúng","Sai"))</f>
        <v/>
      </c>
      <c r="K11" s="10"/>
    </row>
    <row r="12" customFormat="false" ht="23.85" hidden="false" customHeight="false" outlineLevel="0" collapsed="false">
      <c r="A12" s="8" t="str">
        <f aca="false">'Bộ câu hỏi test'!B36</f>
        <v>Q035</v>
      </c>
      <c r="B12" s="9" t="str">
        <f aca="false">'Bộ câu hỏi test'!C36</f>
        <v>7. Khẩn cấp - mô tả triệu chứng (không từ khóa mạnh)</v>
      </c>
      <c r="C12" s="9" t="str">
        <f aca="false">'Bộ câu hỏi test'!D36</f>
        <v>Con tôi bị tiểu đường, hôm nay cháu tự nhiên lơ mơ, gọi không phản ứng nhanh như bình thường.</v>
      </c>
      <c r="D12" s="8" t="str">
        <f aca="false">'Bộ câu hỏi test'!F36</f>
        <v>Y</v>
      </c>
      <c r="E12" s="11"/>
      <c r="F12" s="11"/>
      <c r="G12" s="11"/>
      <c r="H12" s="8" t="str">
        <f aca="false">IF(E12="","",IF(E12=$D12,"Đúng","Sai"))</f>
        <v/>
      </c>
      <c r="I12" s="8" t="str">
        <f aca="false">IF(F12="","",IF(F12=$D12,"Đúng","Sai"))</f>
        <v/>
      </c>
      <c r="J12" s="8" t="str">
        <f aca="false">IF(G12="","",IF(G12=$D12,"Đúng","Sai"))</f>
        <v/>
      </c>
      <c r="K12" s="10"/>
    </row>
    <row r="13" customFormat="false" ht="23.85" hidden="false" customHeight="false" outlineLevel="0" collapsed="false">
      <c r="A13" s="8" t="str">
        <f aca="false">'Bộ câu hỏi test'!B37</f>
        <v>Q036</v>
      </c>
      <c r="B13" s="9" t="str">
        <f aca="false">'Bộ câu hỏi test'!C37</f>
        <v>7. Khẩn cấp - mô tả triệu chứng (không từ khóa mạnh)</v>
      </c>
      <c r="C13" s="9" t="str">
        <f aca="false">'Bộ câu hỏi test'!D37</f>
        <v>Người mệt lả, vã mồ hôi lạnh, tim đập thình thịch, không rõ vì sao.</v>
      </c>
      <c r="D13" s="8" t="str">
        <f aca="false">'Bộ câu hỏi test'!F37</f>
        <v>Y</v>
      </c>
      <c r="E13" s="11"/>
      <c r="F13" s="11"/>
      <c r="G13" s="11"/>
      <c r="H13" s="8" t="str">
        <f aca="false">IF(E13="","",IF(E13=$D13,"Đúng","Sai"))</f>
        <v/>
      </c>
      <c r="I13" s="8" t="str">
        <f aca="false">IF(F13="","",IF(F13=$D13,"Đúng","Sai"))</f>
        <v/>
      </c>
      <c r="J13" s="8" t="str">
        <f aca="false">IF(G13="","",IF(G13=$D13,"Đúng","Sai"))</f>
        <v/>
      </c>
      <c r="K13" s="10"/>
    </row>
    <row r="14" customFormat="false" ht="23.85" hidden="false" customHeight="false" outlineLevel="0" collapsed="false">
      <c r="A14" s="8" t="str">
        <f aca="false">'Bộ câu hỏi test'!B38</f>
        <v>Q037</v>
      </c>
      <c r="B14" s="9" t="str">
        <f aca="false">'Bộ câu hỏi test'!C38</f>
        <v>7. Khẩn cấp - mô tả triệu chứng (không từ khóa mạnh)</v>
      </c>
      <c r="C14" s="9" t="str">
        <f aca="false">'Bộ câu hỏi test'!D38</f>
        <v>Sau khi uống thuốc tiểu đường tôi thấy run rẩy toàn thân và rất đói.</v>
      </c>
      <c r="D14" s="8" t="str">
        <f aca="false">'Bộ câu hỏi test'!F38</f>
        <v>Y</v>
      </c>
      <c r="E14" s="11"/>
      <c r="F14" s="11"/>
      <c r="G14" s="11"/>
      <c r="H14" s="8" t="str">
        <f aca="false">IF(E14="","",IF(E14=$D14,"Đúng","Sai"))</f>
        <v/>
      </c>
      <c r="I14" s="8" t="str">
        <f aca="false">IF(F14="","",IF(F14=$D14,"Đúng","Sai"))</f>
        <v/>
      </c>
      <c r="J14" s="8" t="str">
        <f aca="false">IF(G14="","",IF(G14=$D14,"Đúng","Sai"))</f>
        <v/>
      </c>
      <c r="K14" s="10"/>
    </row>
    <row r="15" customFormat="false" ht="23.85" hidden="false" customHeight="false" outlineLevel="0" collapsed="false">
      <c r="A15" s="8" t="str">
        <f aca="false">'Bộ câu hỏi test'!B39</f>
        <v>Q038</v>
      </c>
      <c r="B15" s="9" t="str">
        <f aca="false">'Bộ câu hỏi test'!C39</f>
        <v>7. Khẩn cấp - mô tả triệu chứng (không từ khóa mạnh)</v>
      </c>
      <c r="C15" s="9" t="str">
        <f aca="false">'Bộ câu hỏi test'!D39</f>
        <v>Cảm giác choáng váng, mắt hoa, chân tay yếu hẳn đi trong vài phút.</v>
      </c>
      <c r="D15" s="8" t="str">
        <f aca="false">'Bộ câu hỏi test'!F39</f>
        <v>Y</v>
      </c>
      <c r="E15" s="11"/>
      <c r="F15" s="11"/>
      <c r="G15" s="11"/>
      <c r="H15" s="8" t="str">
        <f aca="false">IF(E15="","",IF(E15=$D15,"Đúng","Sai"))</f>
        <v/>
      </c>
      <c r="I15" s="8" t="str">
        <f aca="false">IF(F15="","",IF(F15=$D15,"Đúng","Sai"))</f>
        <v/>
      </c>
      <c r="J15" s="8" t="str">
        <f aca="false">IF(G15="","",IF(G15=$D15,"Đúng","Sai"))</f>
        <v/>
      </c>
      <c r="K15" s="10"/>
    </row>
    <row r="16" customFormat="false" ht="23.85" hidden="false" customHeight="false" outlineLevel="0" collapsed="false">
      <c r="A16" s="8" t="str">
        <f aca="false">'Bộ câu hỏi test'!B40</f>
        <v>Q039</v>
      </c>
      <c r="B16" s="9" t="str">
        <f aca="false">'Bộ câu hỏi test'!C40</f>
        <v>7. Khẩn cấp - mô tả triệu chứng (không từ khóa mạnh)</v>
      </c>
      <c r="C16" s="9" t="str">
        <f aca="false">'Bộ câu hỏi test'!D40</f>
        <v>Tôi đang nói chuyện tự nhiên thấy lẫn lộn, quên mình đang nói gì.</v>
      </c>
      <c r="D16" s="8" t="str">
        <f aca="false">'Bộ câu hỏi test'!F40</f>
        <v>Y</v>
      </c>
      <c r="E16" s="11"/>
      <c r="F16" s="11"/>
      <c r="G16" s="11"/>
      <c r="H16" s="8" t="str">
        <f aca="false">IF(E16="","",IF(E16=$D16,"Đúng","Sai"))</f>
        <v/>
      </c>
      <c r="I16" s="8" t="str">
        <f aca="false">IF(F16="","",IF(F16=$D16,"Đúng","Sai"))</f>
        <v/>
      </c>
      <c r="J16" s="8" t="str">
        <f aca="false">IF(G16="","",IF(G16=$D16,"Đúng","Sai"))</f>
        <v/>
      </c>
      <c r="K16" s="10"/>
    </row>
    <row r="17" customFormat="false" ht="23.85" hidden="false" customHeight="false" outlineLevel="0" collapsed="false">
      <c r="A17" s="8" t="str">
        <f aca="false">'Bộ câu hỏi test'!B41</f>
        <v>Q040</v>
      </c>
      <c r="B17" s="9" t="str">
        <f aca="false">'Bộ câu hỏi test'!C41</f>
        <v>7. Khẩn cấp - mô tả triệu chứng (không từ khóa mạnh)</v>
      </c>
      <c r="C17" s="9" t="str">
        <f aca="false">'Bộ câu hỏi test'!D41</f>
        <v>Da tôi tái nhợt, vã mồ hôi dù trời không nóng, cảm giác rất yếu.</v>
      </c>
      <c r="D17" s="8" t="str">
        <f aca="false">'Bộ câu hỏi test'!F41</f>
        <v>Y</v>
      </c>
      <c r="E17" s="11"/>
      <c r="F17" s="11"/>
      <c r="G17" s="11"/>
      <c r="H17" s="8" t="str">
        <f aca="false">IF(E17="","",IF(E17=$D17,"Đúng","Sai"))</f>
        <v/>
      </c>
      <c r="I17" s="8" t="str">
        <f aca="false">IF(F17="","",IF(F17=$D17,"Đúng","Sai"))</f>
        <v/>
      </c>
      <c r="J17" s="8" t="str">
        <f aca="false">IF(G17="","",IF(G17=$D17,"Đúng","Sai"))</f>
        <v/>
      </c>
      <c r="K17" s="10"/>
    </row>
    <row r="18" customFormat="false" ht="23.85" hidden="false" customHeight="false" outlineLevel="0" collapsed="false">
      <c r="A18" s="8" t="str">
        <f aca="false">'Bộ câu hỏi test'!B42</f>
        <v>Q041</v>
      </c>
      <c r="B18" s="9" t="str">
        <f aca="false">'Bộ câu hỏi test'!C42</f>
        <v>8. Không khẩn cấp - dễ nhầm (near-miss)</v>
      </c>
      <c r="C18" s="9" t="str">
        <f aca="false">'Bộ câu hỏi test'!D42</f>
        <v>Hôm nay tôi hơi mệt một chút sau bữa trưa, chắc do ăn hơi no.</v>
      </c>
      <c r="D18" s="8" t="str">
        <f aca="false">'Bộ câu hỏi test'!F42</f>
        <v>N</v>
      </c>
      <c r="E18" s="11"/>
      <c r="F18" s="11"/>
      <c r="G18" s="11"/>
      <c r="H18" s="8" t="str">
        <f aca="false">IF(E18="","",IF(E18=$D18,"Đúng","Sai"))</f>
        <v/>
      </c>
      <c r="I18" s="8" t="str">
        <f aca="false">IF(F18="","",IF(F18=$D18,"Đúng","Sai"))</f>
        <v/>
      </c>
      <c r="J18" s="8" t="str">
        <f aca="false">IF(G18="","",IF(G18=$D18,"Đúng","Sai"))</f>
        <v/>
      </c>
      <c r="K18" s="10"/>
    </row>
    <row r="19" customFormat="false" ht="23.85" hidden="false" customHeight="false" outlineLevel="0" collapsed="false">
      <c r="A19" s="8" t="str">
        <f aca="false">'Bộ câu hỏi test'!B43</f>
        <v>Q042</v>
      </c>
      <c r="B19" s="9" t="str">
        <f aca="false">'Bộ câu hỏi test'!C43</f>
        <v>8. Không khẩn cấp - dễ nhầm (near-miss)</v>
      </c>
      <c r="C19" s="9" t="str">
        <f aca="false">'Bộ câu hỏi test'!D43</f>
        <v>Tôi hay bị chóng mặt nhẹ mỗi khi đứng dậy quá nhanh, có phải bình thường không?</v>
      </c>
      <c r="D19" s="8" t="str">
        <f aca="false">'Bộ câu hỏi test'!F43</f>
        <v>N</v>
      </c>
      <c r="E19" s="11"/>
      <c r="F19" s="11"/>
      <c r="G19" s="11"/>
      <c r="H19" s="8" t="str">
        <f aca="false">IF(E19="","",IF(E19=$D19,"Đúng","Sai"))</f>
        <v/>
      </c>
      <c r="I19" s="8" t="str">
        <f aca="false">IF(F19="","",IF(F19=$D19,"Đúng","Sai"))</f>
        <v/>
      </c>
      <c r="J19" s="8" t="str">
        <f aca="false">IF(G19="","",IF(G19=$D19,"Đúng","Sai"))</f>
        <v/>
      </c>
      <c r="K19" s="10"/>
    </row>
    <row r="20" customFormat="false" ht="23.85" hidden="false" customHeight="false" outlineLevel="0" collapsed="false">
      <c r="A20" s="8" t="str">
        <f aca="false">'Bộ câu hỏi test'!B44</f>
        <v>Q043</v>
      </c>
      <c r="B20" s="9" t="str">
        <f aca="false">'Bộ câu hỏi test'!C44</f>
        <v>8. Không khẩn cấp - dễ nhầm (near-miss)</v>
      </c>
      <c r="C20" s="9" t="str">
        <f aca="false">'Bộ câu hỏi test'!D44</f>
        <v>Đợt này trời nóng nên tôi ra mồ hôi nhiều hơn bình thường khi vận động.</v>
      </c>
      <c r="D20" s="8" t="str">
        <f aca="false">'Bộ câu hỏi test'!F44</f>
        <v>N</v>
      </c>
      <c r="E20" s="11"/>
      <c r="F20" s="11"/>
      <c r="G20" s="11"/>
      <c r="H20" s="8" t="str">
        <f aca="false">IF(E20="","",IF(E20=$D20,"Đúng","Sai"))</f>
        <v/>
      </c>
      <c r="I20" s="8" t="str">
        <f aca="false">IF(F20="","",IF(F20=$D20,"Đúng","Sai"))</f>
        <v/>
      </c>
      <c r="J20" s="8" t="str">
        <f aca="false">IF(G20="","",IF(G20=$D20,"Đúng","Sai"))</f>
        <v/>
      </c>
      <c r="K20" s="10"/>
    </row>
    <row r="21" customFormat="false" ht="23.85" hidden="false" customHeight="false" outlineLevel="0" collapsed="false">
      <c r="A21" s="8" t="str">
        <f aca="false">'Bộ câu hỏi test'!B45</f>
        <v>Q044</v>
      </c>
      <c r="B21" s="9" t="str">
        <f aca="false">'Bộ câu hỏi test'!C45</f>
        <v>8. Không khẩn cấp - dễ nhầm (near-miss)</v>
      </c>
      <c r="C21" s="9" t="str">
        <f aca="false">'Bộ câu hỏi test'!D45</f>
        <v>Tay tôi hơi run vì mới uống cà phê sáng nay, có ảnh hưởng đường huyết không?</v>
      </c>
      <c r="D21" s="8" t="str">
        <f aca="false">'Bộ câu hỏi test'!F45</f>
        <v>N</v>
      </c>
      <c r="E21" s="11"/>
      <c r="F21" s="11"/>
      <c r="G21" s="11"/>
      <c r="H21" s="8" t="str">
        <f aca="false">IF(E21="","",IF(E21=$D21,"Đúng","Sai"))</f>
        <v/>
      </c>
      <c r="I21" s="8" t="str">
        <f aca="false">IF(F21="","",IF(F21=$D21,"Đúng","Sai"))</f>
        <v/>
      </c>
      <c r="J21" s="8" t="str">
        <f aca="false">IF(G21="","",IF(G21=$D21,"Đúng","Sai"))</f>
        <v/>
      </c>
      <c r="K21" s="10"/>
    </row>
    <row r="22" customFormat="false" ht="23.85" hidden="false" customHeight="false" outlineLevel="0" collapsed="false">
      <c r="A22" s="8" t="str">
        <f aca="false">'Bộ câu hỏi test'!B46</f>
        <v>Q045</v>
      </c>
      <c r="B22" s="9" t="str">
        <f aca="false">'Bộ câu hỏi test'!C46</f>
        <v>8. Không khẩn cấp - dễ nhầm (near-miss)</v>
      </c>
      <c r="C22" s="9" t="str">
        <f aca="false">'Bộ câu hỏi test'!D46</f>
        <v>Tôi thấy hồi hộp trước buổi phỏng vấn xin việc ngày mai, tim có đập nhanh hơn không?</v>
      </c>
      <c r="D22" s="8" t="str">
        <f aca="false">'Bộ câu hỏi test'!F46</f>
        <v>N</v>
      </c>
      <c r="E22" s="11"/>
      <c r="F22" s="11"/>
      <c r="G22" s="11"/>
      <c r="H22" s="8" t="str">
        <f aca="false">IF(E22="","",IF(E22=$D22,"Đúng","Sai"))</f>
        <v/>
      </c>
      <c r="I22" s="8" t="str">
        <f aca="false">IF(F22="","",IF(F22=$D22,"Đúng","Sai"))</f>
        <v/>
      </c>
      <c r="J22" s="8" t="str">
        <f aca="false">IF(G22="","",IF(G22=$D22,"Đúng","Sai"))</f>
        <v/>
      </c>
      <c r="K22" s="10"/>
    </row>
    <row r="23" customFormat="false" ht="23.85" hidden="false" customHeight="false" outlineLevel="0" collapsed="false">
      <c r="A23" s="8" t="str">
        <f aca="false">'Bộ câu hỏi test'!B47</f>
        <v>Q046</v>
      </c>
      <c r="B23" s="9" t="str">
        <f aca="false">'Bộ câu hỏi test'!C47</f>
        <v>8. Không khẩn cấp - dễ nhầm (near-miss)</v>
      </c>
      <c r="C23" s="9" t="str">
        <f aca="false">'Bộ câu hỏi test'!D47</f>
        <v>Đường huyết tôi đo sáng nay là 95 mg/dL, như vậy có ổn không?</v>
      </c>
      <c r="D23" s="8" t="str">
        <f aca="false">'Bộ câu hỏi test'!F47</f>
        <v>N</v>
      </c>
      <c r="E23" s="11"/>
      <c r="F23" s="11"/>
      <c r="G23" s="11"/>
      <c r="H23" s="8" t="str">
        <f aca="false">IF(E23="","",IF(E23=$D23,"Đúng","Sai"))</f>
        <v/>
      </c>
      <c r="I23" s="8" t="str">
        <f aca="false">IF(F23="","",IF(F23=$D23,"Đúng","Sai"))</f>
        <v/>
      </c>
      <c r="J23" s="8" t="str">
        <f aca="false">IF(G23="","",IF(G23=$D23,"Đúng","Sai"))</f>
        <v/>
      </c>
      <c r="K23" s="10"/>
    </row>
    <row r="24" customFormat="false" ht="23.85" hidden="false" customHeight="false" outlineLevel="0" collapsed="false">
      <c r="A24" s="8" t="str">
        <f aca="false">'Bộ câu hỏi test'!B48</f>
        <v>Q047</v>
      </c>
      <c r="B24" s="9" t="str">
        <f aca="false">'Bộ câu hỏi test'!C48</f>
        <v>8. Không khẩn cấp - dễ nhầm (near-miss)</v>
      </c>
      <c r="C24" s="9" t="str">
        <f aca="false">'Bộ câu hỏi test'!D48</f>
        <v>Tôi hơi đói bụng vì chưa ăn sáng, lát nữa ăn thì hết đúng không?</v>
      </c>
      <c r="D24" s="8" t="str">
        <f aca="false">'Bộ câu hỏi test'!F48</f>
        <v>N</v>
      </c>
      <c r="E24" s="11"/>
      <c r="F24" s="11"/>
      <c r="G24" s="11"/>
      <c r="H24" s="8" t="str">
        <f aca="false">IF(E24="","",IF(E24=$D24,"Đúng","Sai"))</f>
        <v/>
      </c>
      <c r="I24" s="8" t="str">
        <f aca="false">IF(F24="","",IF(F24=$D24,"Đúng","Sai"))</f>
        <v/>
      </c>
      <c r="J24" s="8" t="str">
        <f aca="false">IF(G24="","",IF(G24=$D24,"Đúng","Sai"))</f>
        <v/>
      </c>
      <c r="K24" s="10"/>
    </row>
    <row r="25" customFormat="false" ht="23.85" hidden="false" customHeight="false" outlineLevel="0" collapsed="false">
      <c r="A25" s="8" t="str">
        <f aca="false">'Bộ câu hỏi test'!B49</f>
        <v>Q048</v>
      </c>
      <c r="B25" s="9" t="str">
        <f aca="false">'Bộ câu hỏi test'!C49</f>
        <v>8. Không khẩn cấp - dễ nhầm (near-miss)</v>
      </c>
      <c r="C25" s="9" t="str">
        <f aca="false">'Bộ câu hỏi test'!D49</f>
        <v>Có nên lo lắng nếu thỉnh thoảng cảm thấy hơi mệt vào cuối ngày làm việc không?</v>
      </c>
      <c r="D25" s="8" t="str">
        <f aca="false">'Bộ câu hỏi test'!F49</f>
        <v>N</v>
      </c>
      <c r="E25" s="11"/>
      <c r="F25" s="11"/>
      <c r="G25" s="11"/>
      <c r="H25" s="8" t="str">
        <f aca="false">IF(E25="","",IF(E25=$D25,"Đúng","Sai"))</f>
        <v/>
      </c>
      <c r="I25" s="8" t="str">
        <f aca="false">IF(F25="","",IF(F25=$D25,"Đúng","Sai"))</f>
        <v/>
      </c>
      <c r="J25" s="8" t="str">
        <f aca="false">IF(G25="","",IF(G25=$D25,"Đúng","Sai"))</f>
        <v/>
      </c>
      <c r="K25" s="10"/>
    </row>
  </sheetData>
  <dataValidations count="1">
    <dataValidation allowBlank="true" errorStyle="stop" operator="between" showDropDown="false" showErrorMessage="false" showInputMessage="false" sqref="E2:G25" type="list">
      <formula1>"Y,N"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6"/>
    <col collapsed="false" customWidth="true" hidden="false" outlineLevel="0" max="6" min="3" style="0" width="12"/>
    <col collapsed="false" customWidth="true" hidden="false" outlineLevel="0" max="8" min="7" style="0" width="14"/>
    <col collapsed="false" customWidth="true" hidden="false" outlineLevel="0" max="9" min="9" style="0" width="12"/>
  </cols>
  <sheetData>
    <row r="1" customFormat="false" ht="17.35" hidden="false" customHeight="false" outlineLevel="0" collapsed="false">
      <c r="A1" s="1" t="s">
        <v>204</v>
      </c>
    </row>
    <row r="2" customFormat="false" ht="15" hidden="false" customHeight="false" outlineLevel="0" collapsed="false">
      <c r="A2" s="2" t="s">
        <v>205</v>
      </c>
    </row>
    <row r="4" customFormat="false" ht="15" hidden="false" customHeight="false" outlineLevel="0" collapsed="false">
      <c r="B4" s="13" t="s">
        <v>206</v>
      </c>
      <c r="C4" s="13"/>
      <c r="D4" s="13"/>
    </row>
    <row r="5" customFormat="false" ht="15" hidden="false" customHeight="false" outlineLevel="0" collapsed="false">
      <c r="B5" s="14" t="s">
        <v>207</v>
      </c>
      <c r="C5" s="15" t="str">
        <f aca="false">IFERROR(AVERAGE('Chấm - Chất lượng RAG'!E2:E32),"")</f>
        <v/>
      </c>
    </row>
    <row r="6" customFormat="false" ht="15" hidden="false" customHeight="false" outlineLevel="0" collapsed="false">
      <c r="B6" s="14" t="s">
        <v>208</v>
      </c>
      <c r="C6" s="15" t="str">
        <f aca="false">IFERROR(AVERAGE('Chấm - Chất lượng RAG'!F2:F32),"")</f>
        <v/>
      </c>
    </row>
    <row r="7" customFormat="false" ht="15" hidden="false" customHeight="false" outlineLevel="0" collapsed="false">
      <c r="B7" s="14" t="s">
        <v>209</v>
      </c>
      <c r="C7" s="15" t="str">
        <f aca="false">IFERROR(COUNTIF('Chấm - Chất lượng RAG'!G2:G32,"Y")/COUNTIF('Chấm - Chất lượng RAG'!G2:G32,"&lt;&gt;"),"")</f>
        <v/>
      </c>
    </row>
    <row r="8" customFormat="false" ht="15" hidden="false" customHeight="false" outlineLevel="0" collapsed="false">
      <c r="B8" s="14" t="s">
        <v>210</v>
      </c>
      <c r="C8" s="15" t="str">
        <f aca="false">IFERROR(AVERAGE('Chấm - Chất lượng RAG'!H2:H32),"")</f>
        <v/>
      </c>
    </row>
    <row r="9" customFormat="false" ht="15" hidden="false" customHeight="false" outlineLevel="0" collapsed="false">
      <c r="B9" s="14" t="s">
        <v>211</v>
      </c>
      <c r="C9" s="15" t="str">
        <f aca="false">COUNTIF('Chấm - Chất lượng RAG'!E2:E32,"&lt;&gt;")&amp;"/"&amp;31</f>
        <v>0/31</v>
      </c>
    </row>
    <row r="12" customFormat="false" ht="15" hidden="false" customHeight="false" outlineLevel="0" collapsed="false">
      <c r="B12" s="13" t="s">
        <v>212</v>
      </c>
      <c r="C12" s="13"/>
      <c r="D12" s="13"/>
      <c r="E12" s="13"/>
      <c r="F12" s="13"/>
      <c r="G12" s="13"/>
      <c r="H12" s="13"/>
      <c r="I12" s="13"/>
    </row>
    <row r="13" customFormat="false" ht="15" hidden="false" customHeight="false" outlineLevel="0" collapsed="false">
      <c r="B13" s="5" t="s">
        <v>213</v>
      </c>
      <c r="C13" s="5" t="s">
        <v>214</v>
      </c>
      <c r="D13" s="5" t="s">
        <v>215</v>
      </c>
      <c r="E13" s="5" t="s">
        <v>216</v>
      </c>
      <c r="F13" s="5" t="s">
        <v>217</v>
      </c>
      <c r="G13" s="5" t="s">
        <v>218</v>
      </c>
      <c r="H13" s="5" t="s">
        <v>219</v>
      </c>
      <c r="I13" s="5" t="s">
        <v>220</v>
      </c>
    </row>
    <row r="14" customFormat="false" ht="15" hidden="false" customHeight="false" outlineLevel="0" collapsed="false">
      <c r="B14" s="6" t="s">
        <v>221</v>
      </c>
      <c r="C14" s="6" t="n">
        <f aca="false">COUNTIFS('Chấm - Phát hiện khẩn cấp'!D2:D25,"Y",'Chấm - Phát hiện khẩn cấp'!E2:E25,"Y")</f>
        <v>0</v>
      </c>
      <c r="D14" s="6" t="n">
        <f aca="false">COUNTIFS('Chấm - Phát hiện khẩn cấp'!D2:D25,"N",'Chấm - Phát hiện khẩn cấp'!E2:E25,"Y")</f>
        <v>0</v>
      </c>
      <c r="E14" s="6" t="n">
        <f aca="false">COUNTIFS('Chấm - Phát hiện khẩn cấp'!D2:D25,"Y",'Chấm - Phát hiện khẩn cấp'!E2:E25,"N")</f>
        <v>0</v>
      </c>
      <c r="F14" s="6" t="n">
        <f aca="false">COUNTIFS('Chấm - Phát hiện khẩn cấp'!D2:D25,"N",'Chấm - Phát hiện khẩn cấp'!E2:E25,"N")</f>
        <v>0</v>
      </c>
      <c r="G14" s="16" t="n">
        <f aca="false">IFERROR(C14/(C14+D14),0)</f>
        <v>0</v>
      </c>
      <c r="H14" s="16" t="n">
        <f aca="false">IFERROR(C14/(C14+E14),0)</f>
        <v>0</v>
      </c>
      <c r="I14" s="16" t="n">
        <f aca="false">IFERROR(2*G14*H14/(G14+H14),0)</f>
        <v>0</v>
      </c>
    </row>
    <row r="15" customFormat="false" ht="15" hidden="false" customHeight="false" outlineLevel="0" collapsed="false">
      <c r="B15" s="6" t="s">
        <v>222</v>
      </c>
      <c r="C15" s="6" t="n">
        <f aca="false">COUNTIFS('Chấm - Phát hiện khẩn cấp'!D2:D25,"Y",'Chấm - Phát hiện khẩn cấp'!F2:F25,"Y")</f>
        <v>0</v>
      </c>
      <c r="D15" s="6" t="n">
        <f aca="false">COUNTIFS('Chấm - Phát hiện khẩn cấp'!D2:D25,"N",'Chấm - Phát hiện khẩn cấp'!F2:F25,"Y")</f>
        <v>0</v>
      </c>
      <c r="E15" s="6" t="n">
        <f aca="false">COUNTIFS('Chấm - Phát hiện khẩn cấp'!D2:D25,"Y",'Chấm - Phát hiện khẩn cấp'!F2:F25,"N")</f>
        <v>0</v>
      </c>
      <c r="F15" s="6" t="n">
        <f aca="false">COUNTIFS('Chấm - Phát hiện khẩn cấp'!D2:D25,"N",'Chấm - Phát hiện khẩn cấp'!F2:F25,"N")</f>
        <v>0</v>
      </c>
      <c r="G15" s="16" t="n">
        <f aca="false">IFERROR(C15/(C15+D15),0)</f>
        <v>0</v>
      </c>
      <c r="H15" s="16" t="n">
        <f aca="false">IFERROR(C15/(C15+E15),0)</f>
        <v>0</v>
      </c>
      <c r="I15" s="16" t="n">
        <f aca="false">IFERROR(2*G15*H15/(G15+H15),0)</f>
        <v>0</v>
      </c>
    </row>
    <row r="16" customFormat="false" ht="15" hidden="false" customHeight="false" outlineLevel="0" collapsed="false">
      <c r="B16" s="6" t="s">
        <v>223</v>
      </c>
      <c r="C16" s="6" t="n">
        <f aca="false">COUNTIFS('Chấm - Phát hiện khẩn cấp'!D2:D25,"Y",'Chấm - Phát hiện khẩn cấp'!G2:G25,"Y")</f>
        <v>0</v>
      </c>
      <c r="D16" s="6" t="n">
        <f aca="false">COUNTIFS('Chấm - Phát hiện khẩn cấp'!D2:D25,"N",'Chấm - Phát hiện khẩn cấp'!G2:G25,"Y")</f>
        <v>0</v>
      </c>
      <c r="E16" s="6" t="n">
        <f aca="false">COUNTIFS('Chấm - Phát hiện khẩn cấp'!D2:D25,"Y",'Chấm - Phát hiện khẩn cấp'!G2:G25,"N")</f>
        <v>0</v>
      </c>
      <c r="F16" s="6" t="n">
        <f aca="false">COUNTIFS('Chấm - Phát hiện khẩn cấp'!D2:D25,"N",'Chấm - Phát hiện khẩn cấp'!G2:G25,"N")</f>
        <v>0</v>
      </c>
      <c r="G16" s="16" t="n">
        <f aca="false">IFERROR(C16/(C16+D16),0)</f>
        <v>0</v>
      </c>
      <c r="H16" s="16" t="n">
        <f aca="false">IFERROR(C16/(C16+E16),0)</f>
        <v>0</v>
      </c>
      <c r="I16" s="16" t="n">
        <f aca="false">IFERROR(2*G16*H16/(G16+H16),0)</f>
        <v>0</v>
      </c>
    </row>
    <row r="18" customFormat="false" ht="15" hidden="false" customHeight="false" outlineLevel="0" collapsed="false">
      <c r="B18" s="17" t="s">
        <v>224</v>
      </c>
      <c r="C18" s="17"/>
      <c r="D18" s="17"/>
      <c r="E18" s="17"/>
      <c r="F18" s="17"/>
      <c r="G18" s="17"/>
      <c r="H18" s="17"/>
      <c r="I18" s="17"/>
    </row>
    <row r="19" customFormat="false" ht="15" hidden="false" customHeight="false" outlineLevel="0" collapsed="false">
      <c r="B19" s="18" t="s">
        <v>225</v>
      </c>
      <c r="C19" s="18"/>
      <c r="D19" s="18"/>
      <c r="E19" s="18"/>
      <c r="F19" s="18"/>
      <c r="G19" s="18"/>
      <c r="H19" s="18"/>
      <c r="I19" s="18"/>
    </row>
  </sheetData>
  <mergeCells count="4">
    <mergeCell ref="B4:D4"/>
    <mergeCell ref="B12:I12"/>
    <mergeCell ref="B18:I18"/>
    <mergeCell ref="B19:I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2026-07-15T08:38:07Z</dcterms:created>
  <dc:creator>openpyxl</dc:creator>
  <dc:description/>
  <dc:language>en-US</dc:language>
  <cp:lastModifiedBy/>
  <dcterms:modified xsi:type="dcterms:W3CDTF">2026-07-15T08:38:07Z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